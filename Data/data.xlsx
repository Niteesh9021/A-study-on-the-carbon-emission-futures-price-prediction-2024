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esearch paper\data\"/>
    </mc:Choice>
  </mc:AlternateContent>
  <xr:revisionPtr revIDLastSave="0" documentId="13_ncr:1_{9BC50458-FE13-4E27-81A6-5408F2060032}" xr6:coauthVersionLast="36" xr6:coauthVersionMax="36" xr10:uidLastSave="{00000000-0000-0000-0000-000000000000}"/>
  <bookViews>
    <workbookView xWindow="0" yWindow="0" windowWidth="23040" windowHeight="8940" xr2:uid="{77765ACA-490E-4BB5-A857-88F609BAD3D6}"/>
  </bookViews>
  <sheets>
    <sheet name="Data" sheetId="1" r:id="rId1"/>
    <sheet name="source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3" i="1" l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L224" i="1"/>
  <c r="K224" i="1"/>
  <c r="J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224" i="1"/>
  <c r="F223" i="1" l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224" i="1"/>
</calcChain>
</file>

<file path=xl/sharedStrings.xml><?xml version="1.0" encoding="utf-8"?>
<sst xmlns="http://schemas.openxmlformats.org/spreadsheetml/2006/main" count="26" uniqueCount="26">
  <si>
    <t>Date</t>
  </si>
  <si>
    <t>United States: CO2 Country Profile - Our World in Data</t>
  </si>
  <si>
    <t>per capita carbon emission</t>
  </si>
  <si>
    <t>Natural Gas Futures Historical Prices - Investing.com India</t>
  </si>
  <si>
    <t>natural gas</t>
  </si>
  <si>
    <t>Crude Oil WTI Futures Historical Prices - Investing.com India</t>
  </si>
  <si>
    <t xml:space="preserve">crude oil </t>
  </si>
  <si>
    <t>BEA Interactive Data Application</t>
  </si>
  <si>
    <t>Gdp</t>
  </si>
  <si>
    <t>Federal Reserve Board - g17 - Data Download Program - Download</t>
  </si>
  <si>
    <t>industrial data</t>
  </si>
  <si>
    <t>Dow Jones Industrial Average Historical Rates (DJI) - Investing.com</t>
  </si>
  <si>
    <t>dow jones industrial average</t>
  </si>
  <si>
    <t>Carbon Emissions Futures Historical Prices - Investing.com India</t>
  </si>
  <si>
    <t>carbon futures price</t>
  </si>
  <si>
    <t>GDP</t>
  </si>
  <si>
    <t>Manufacturing</t>
  </si>
  <si>
    <t>Chemical</t>
  </si>
  <si>
    <t>Carbon_futures_Price</t>
  </si>
  <si>
    <t>Dow_jones</t>
  </si>
  <si>
    <t>crude_oil_futures</t>
  </si>
  <si>
    <t>per_capita_carbon_emission</t>
  </si>
  <si>
    <t>Crude_processing</t>
  </si>
  <si>
    <t>Petroleum_and_coal_products</t>
  </si>
  <si>
    <t>Plastics_and_rubber_products</t>
  </si>
  <si>
    <t>natural_gas_contract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</si>
</sst>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3EAF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 indent="1"/>
    </xf>
    <xf numFmtId="0" fontId="3" fillId="2" borderId="1" xfId="0" applyFont="1" applyFill="1" applyBorder="1" applyAlignment="1">
      <alignment horizontal="right" vertical="center" indent="1"/>
    </xf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  <xf numFmtId="14" fontId="2" fillId="0" borderId="1" xfId="0" applyNumberFormat="1" applyFont="1" applyBorder="1" applyAlignment="1">
      <alignment horizontal="left" vertical="center" indent="1"/>
    </xf>
    <xf numFmtId="14" fontId="3" fillId="0" borderId="1" xfId="0" applyNumberFormat="1" applyFont="1" applyBorder="1" applyAlignment="1">
      <alignment horizontal="left" vertical="center" indent="1"/>
    </xf>
    <xf numFmtId="14" fontId="3" fillId="2" borderId="1" xfId="0" applyNumberFormat="1" applyFont="1" applyFill="1" applyBorder="1" applyAlignment="1">
      <alignment horizontal="left" vertical="center" indent="1"/>
    </xf>
    <xf numFmtId="14" fontId="4" fillId="0" borderId="0" xfId="0" applyNumberFormat="1" applyFont="1"/>
    <xf numFmtId="4" fontId="0" fillId="0" borderId="0" xfId="0" applyNumberFormat="1"/>
    <xf numFmtId="0" fontId="5" fillId="0" borderId="0" xfId="0" applyFont="1"/>
    <xf numFmtId="14" fontId="0" fillId="0" borderId="0" xfId="0" applyNumberFormat="1"/>
    <xf numFmtId="0" fontId="5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DP%20data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RB_G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data"/>
      <sheetName val="edited"/>
    </sheetNames>
    <sheetDataSet>
      <sheetData sheetId="0" refreshError="1"/>
      <sheetData sheetId="1">
        <row r="1">
          <cell r="C1" t="str">
            <v>Date</v>
          </cell>
          <cell r="D1" t="str">
            <v xml:space="preserve">        Gross domestic product</v>
          </cell>
        </row>
        <row r="2">
          <cell r="C2">
            <v>36586</v>
          </cell>
          <cell r="D2">
            <v>10002.200000000001</v>
          </cell>
        </row>
        <row r="3">
          <cell r="C3">
            <v>36678</v>
          </cell>
          <cell r="D3">
            <v>10247.700000000001</v>
          </cell>
        </row>
        <row r="4">
          <cell r="C4">
            <v>36770</v>
          </cell>
          <cell r="D4">
            <v>10318.200000000001</v>
          </cell>
        </row>
        <row r="5">
          <cell r="C5">
            <v>36861</v>
          </cell>
          <cell r="D5">
            <v>10435.700000000001</v>
          </cell>
        </row>
        <row r="6">
          <cell r="C6">
            <v>36951</v>
          </cell>
          <cell r="D6">
            <v>10470.200000000001</v>
          </cell>
        </row>
        <row r="7">
          <cell r="C7">
            <v>37043</v>
          </cell>
          <cell r="D7">
            <v>10599</v>
          </cell>
        </row>
        <row r="8">
          <cell r="C8">
            <v>37135</v>
          </cell>
          <cell r="D8">
            <v>10598</v>
          </cell>
        </row>
        <row r="9">
          <cell r="C9">
            <v>37226</v>
          </cell>
          <cell r="D9">
            <v>10660.5</v>
          </cell>
        </row>
        <row r="10">
          <cell r="C10">
            <v>37316</v>
          </cell>
          <cell r="D10">
            <v>10783.5</v>
          </cell>
        </row>
        <row r="11">
          <cell r="C11">
            <v>37408</v>
          </cell>
          <cell r="D11">
            <v>10887.5</v>
          </cell>
        </row>
        <row r="12">
          <cell r="C12">
            <v>37500</v>
          </cell>
          <cell r="D12">
            <v>10984</v>
          </cell>
        </row>
        <row r="13">
          <cell r="C13">
            <v>37591</v>
          </cell>
          <cell r="D13">
            <v>11061.4</v>
          </cell>
        </row>
        <row r="14">
          <cell r="C14">
            <v>37681</v>
          </cell>
          <cell r="D14">
            <v>11174.1</v>
          </cell>
        </row>
        <row r="15">
          <cell r="C15">
            <v>37773</v>
          </cell>
          <cell r="D15">
            <v>11312.8</v>
          </cell>
        </row>
        <row r="16">
          <cell r="C16">
            <v>37865</v>
          </cell>
          <cell r="D16">
            <v>11566.7</v>
          </cell>
        </row>
        <row r="17">
          <cell r="C17">
            <v>37956</v>
          </cell>
          <cell r="D17">
            <v>11772.2</v>
          </cell>
        </row>
        <row r="18">
          <cell r="C18">
            <v>38047</v>
          </cell>
          <cell r="D18">
            <v>11923.4</v>
          </cell>
        </row>
        <row r="19">
          <cell r="C19">
            <v>38139</v>
          </cell>
          <cell r="D19">
            <v>12112.8</v>
          </cell>
        </row>
        <row r="20">
          <cell r="C20">
            <v>38231</v>
          </cell>
          <cell r="D20">
            <v>12305.3</v>
          </cell>
        </row>
        <row r="21">
          <cell r="C21">
            <v>38322</v>
          </cell>
          <cell r="D21">
            <v>12527.2</v>
          </cell>
        </row>
        <row r="22">
          <cell r="C22">
            <v>38412</v>
          </cell>
          <cell r="D22">
            <v>12767.3</v>
          </cell>
        </row>
        <row r="23">
          <cell r="C23">
            <v>38504</v>
          </cell>
          <cell r="D23">
            <v>12922.7</v>
          </cell>
        </row>
        <row r="24">
          <cell r="C24">
            <v>38596</v>
          </cell>
          <cell r="D24">
            <v>13142.6</v>
          </cell>
        </row>
        <row r="25">
          <cell r="C25">
            <v>38687</v>
          </cell>
          <cell r="D25">
            <v>13324.2</v>
          </cell>
        </row>
        <row r="26">
          <cell r="C26">
            <v>38777</v>
          </cell>
          <cell r="D26">
            <v>13599.2</v>
          </cell>
        </row>
        <row r="27">
          <cell r="C27">
            <v>38869</v>
          </cell>
          <cell r="D27">
            <v>13753.4</v>
          </cell>
        </row>
        <row r="28">
          <cell r="C28">
            <v>38961</v>
          </cell>
          <cell r="D28">
            <v>13870.2</v>
          </cell>
        </row>
        <row r="29">
          <cell r="C29">
            <v>39052</v>
          </cell>
          <cell r="D29">
            <v>14039.6</v>
          </cell>
        </row>
        <row r="30">
          <cell r="C30">
            <v>39142</v>
          </cell>
          <cell r="D30">
            <v>14215.7</v>
          </cell>
        </row>
        <row r="31">
          <cell r="C31">
            <v>39234</v>
          </cell>
          <cell r="D31">
            <v>14402.1</v>
          </cell>
        </row>
        <row r="32">
          <cell r="C32">
            <v>39326</v>
          </cell>
          <cell r="D32">
            <v>14564.1</v>
          </cell>
        </row>
        <row r="33">
          <cell r="C33">
            <v>39417</v>
          </cell>
          <cell r="D33">
            <v>14715.1</v>
          </cell>
        </row>
        <row r="34">
          <cell r="C34">
            <v>39508</v>
          </cell>
          <cell r="D34">
            <v>14706.5</v>
          </cell>
        </row>
        <row r="35">
          <cell r="C35">
            <v>39600</v>
          </cell>
          <cell r="D35">
            <v>14865.7</v>
          </cell>
        </row>
        <row r="36">
          <cell r="C36">
            <v>39692</v>
          </cell>
          <cell r="D36">
            <v>14899</v>
          </cell>
        </row>
        <row r="37">
          <cell r="C37">
            <v>39783</v>
          </cell>
          <cell r="D37">
            <v>14608.2</v>
          </cell>
        </row>
        <row r="38">
          <cell r="C38">
            <v>39873</v>
          </cell>
          <cell r="D38">
            <v>14430.9</v>
          </cell>
        </row>
        <row r="39">
          <cell r="C39">
            <v>39965</v>
          </cell>
          <cell r="D39">
            <v>14381.2</v>
          </cell>
        </row>
        <row r="40">
          <cell r="C40">
            <v>40057</v>
          </cell>
          <cell r="D40">
            <v>14448.9</v>
          </cell>
        </row>
        <row r="41">
          <cell r="C41">
            <v>40148</v>
          </cell>
          <cell r="D41">
            <v>14651.2</v>
          </cell>
        </row>
        <row r="42">
          <cell r="C42">
            <v>40238</v>
          </cell>
          <cell r="D42">
            <v>14764.6</v>
          </cell>
        </row>
        <row r="43">
          <cell r="C43">
            <v>40330</v>
          </cell>
          <cell r="D43">
            <v>14980.2</v>
          </cell>
        </row>
        <row r="44">
          <cell r="C44">
            <v>40422</v>
          </cell>
          <cell r="D44">
            <v>15141.6</v>
          </cell>
        </row>
        <row r="45">
          <cell r="C45">
            <v>40513</v>
          </cell>
          <cell r="D45">
            <v>15309.5</v>
          </cell>
        </row>
        <row r="46">
          <cell r="C46">
            <v>40603</v>
          </cell>
          <cell r="D46">
            <v>15351.4</v>
          </cell>
        </row>
        <row r="47">
          <cell r="C47">
            <v>40695</v>
          </cell>
          <cell r="D47">
            <v>15557.5</v>
          </cell>
        </row>
        <row r="48">
          <cell r="C48">
            <v>40787</v>
          </cell>
          <cell r="D48">
            <v>15647.7</v>
          </cell>
        </row>
        <row r="49">
          <cell r="C49">
            <v>40878</v>
          </cell>
          <cell r="D49">
            <v>15842.3</v>
          </cell>
        </row>
        <row r="50">
          <cell r="C50">
            <v>40969</v>
          </cell>
          <cell r="D50">
            <v>16068.8</v>
          </cell>
        </row>
        <row r="51">
          <cell r="C51">
            <v>41061</v>
          </cell>
          <cell r="D51">
            <v>16207.1</v>
          </cell>
        </row>
        <row r="52">
          <cell r="C52">
            <v>41153</v>
          </cell>
          <cell r="D52">
            <v>16319.5</v>
          </cell>
        </row>
        <row r="53">
          <cell r="C53">
            <v>41244</v>
          </cell>
          <cell r="D53">
            <v>16420.400000000001</v>
          </cell>
        </row>
        <row r="54">
          <cell r="C54">
            <v>41334</v>
          </cell>
          <cell r="D54">
            <v>16648.2</v>
          </cell>
        </row>
        <row r="55">
          <cell r="C55">
            <v>41426</v>
          </cell>
          <cell r="D55">
            <v>16728.7</v>
          </cell>
        </row>
        <row r="56">
          <cell r="C56">
            <v>41518</v>
          </cell>
          <cell r="D56">
            <v>16953.8</v>
          </cell>
        </row>
        <row r="57">
          <cell r="C57">
            <v>41609</v>
          </cell>
          <cell r="D57">
            <v>17192</v>
          </cell>
        </row>
        <row r="58">
          <cell r="C58">
            <v>41699</v>
          </cell>
          <cell r="D58">
            <v>17197.7</v>
          </cell>
        </row>
        <row r="59">
          <cell r="C59">
            <v>41791</v>
          </cell>
          <cell r="D59">
            <v>17518.5</v>
          </cell>
        </row>
        <row r="60">
          <cell r="C60">
            <v>41883</v>
          </cell>
          <cell r="D60">
            <v>17804.2</v>
          </cell>
        </row>
        <row r="61">
          <cell r="C61">
            <v>41974</v>
          </cell>
          <cell r="D61">
            <v>17912.099999999999</v>
          </cell>
        </row>
        <row r="62">
          <cell r="C62">
            <v>42064</v>
          </cell>
          <cell r="D62">
            <v>18063.5</v>
          </cell>
        </row>
        <row r="63">
          <cell r="C63">
            <v>42156</v>
          </cell>
          <cell r="D63">
            <v>18279.8</v>
          </cell>
        </row>
        <row r="64">
          <cell r="C64">
            <v>42248</v>
          </cell>
          <cell r="D64">
            <v>18401.599999999999</v>
          </cell>
        </row>
        <row r="65">
          <cell r="C65">
            <v>42339</v>
          </cell>
          <cell r="D65">
            <v>18435.099999999999</v>
          </cell>
        </row>
        <row r="66">
          <cell r="C66">
            <v>42430</v>
          </cell>
          <cell r="D66">
            <v>18525.900000000001</v>
          </cell>
        </row>
        <row r="67">
          <cell r="C67">
            <v>42522</v>
          </cell>
          <cell r="D67">
            <v>18711.7</v>
          </cell>
        </row>
        <row r="68">
          <cell r="C68">
            <v>42614</v>
          </cell>
          <cell r="D68">
            <v>18892.599999999999</v>
          </cell>
        </row>
        <row r="69">
          <cell r="C69">
            <v>42705</v>
          </cell>
          <cell r="D69">
            <v>19089.400000000001</v>
          </cell>
        </row>
        <row r="70">
          <cell r="C70">
            <v>42795</v>
          </cell>
          <cell r="D70">
            <v>19280.099999999999</v>
          </cell>
        </row>
        <row r="71">
          <cell r="C71">
            <v>42887</v>
          </cell>
          <cell r="D71">
            <v>19438.599999999999</v>
          </cell>
        </row>
        <row r="72">
          <cell r="C72">
            <v>42979</v>
          </cell>
          <cell r="D72">
            <v>19692.599999999999</v>
          </cell>
        </row>
        <row r="73">
          <cell r="C73">
            <v>43070</v>
          </cell>
          <cell r="D73">
            <v>20037.099999999999</v>
          </cell>
        </row>
        <row r="74">
          <cell r="C74">
            <v>43160</v>
          </cell>
          <cell r="D74">
            <v>20328.599999999999</v>
          </cell>
        </row>
        <row r="75">
          <cell r="C75">
            <v>43252</v>
          </cell>
          <cell r="D75">
            <v>20580.900000000001</v>
          </cell>
        </row>
        <row r="76">
          <cell r="C76">
            <v>43344</v>
          </cell>
          <cell r="D76">
            <v>20798.7</v>
          </cell>
        </row>
        <row r="77">
          <cell r="C77">
            <v>43435</v>
          </cell>
          <cell r="D77">
            <v>20917.900000000001</v>
          </cell>
        </row>
        <row r="78">
          <cell r="C78">
            <v>43525</v>
          </cell>
          <cell r="D78">
            <v>21104.1</v>
          </cell>
        </row>
        <row r="79">
          <cell r="C79">
            <v>43617</v>
          </cell>
          <cell r="D79">
            <v>21384.799999999999</v>
          </cell>
        </row>
        <row r="80">
          <cell r="C80">
            <v>43709</v>
          </cell>
          <cell r="D80">
            <v>21694.3</v>
          </cell>
        </row>
        <row r="81">
          <cell r="C81">
            <v>43800</v>
          </cell>
          <cell r="D81">
            <v>21902.400000000001</v>
          </cell>
        </row>
        <row r="82">
          <cell r="C82">
            <v>43891</v>
          </cell>
          <cell r="D82">
            <v>21706.5</v>
          </cell>
        </row>
        <row r="83">
          <cell r="C83">
            <v>43983</v>
          </cell>
          <cell r="D83">
            <v>19913.099999999999</v>
          </cell>
        </row>
        <row r="84">
          <cell r="C84">
            <v>44075</v>
          </cell>
          <cell r="D84">
            <v>21647.599999999999</v>
          </cell>
        </row>
        <row r="85">
          <cell r="C85">
            <v>44166</v>
          </cell>
          <cell r="D85">
            <v>22024.5</v>
          </cell>
        </row>
        <row r="86">
          <cell r="C86">
            <v>44256</v>
          </cell>
          <cell r="D86">
            <v>22600.2</v>
          </cell>
        </row>
        <row r="87">
          <cell r="C87">
            <v>44348</v>
          </cell>
          <cell r="D87">
            <v>23292.400000000001</v>
          </cell>
        </row>
        <row r="88">
          <cell r="C88">
            <v>44440</v>
          </cell>
          <cell r="D88">
            <v>23829</v>
          </cell>
        </row>
        <row r="89">
          <cell r="C89">
            <v>44531</v>
          </cell>
          <cell r="D89">
            <v>24654.6</v>
          </cell>
        </row>
        <row r="90">
          <cell r="C90">
            <v>44621</v>
          </cell>
          <cell r="D90">
            <v>25029.1</v>
          </cell>
        </row>
        <row r="91">
          <cell r="C91">
            <v>44713</v>
          </cell>
          <cell r="D91">
            <v>25544.3</v>
          </cell>
        </row>
        <row r="92">
          <cell r="C92">
            <v>44805</v>
          </cell>
          <cell r="D92">
            <v>25994.6</v>
          </cell>
        </row>
        <row r="93">
          <cell r="C93">
            <v>44896</v>
          </cell>
          <cell r="D93">
            <v>26408.400000000001</v>
          </cell>
        </row>
        <row r="94">
          <cell r="C94">
            <v>44986</v>
          </cell>
          <cell r="D94">
            <v>26813.599999999999</v>
          </cell>
        </row>
        <row r="95">
          <cell r="C95">
            <v>45078</v>
          </cell>
          <cell r="D95">
            <v>27063</v>
          </cell>
        </row>
        <row r="96">
          <cell r="C96">
            <v>45170</v>
          </cell>
          <cell r="D96">
            <v>27610.1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Series Description</v>
          </cell>
          <cell r="B1" t="str">
            <v>Manufacturing (SIC); s.a. IP</v>
          </cell>
          <cell r="C1" t="str">
            <v>Crude processing (capacity); s.a. IP</v>
          </cell>
          <cell r="D1" t="str">
            <v>Electric power generation, transmission, and distribution  (NAICS = 2211); s.a. IP</v>
          </cell>
          <cell r="E1" t="str">
            <v>Natural gas distribution  (NAICS = 2212); s.a. IP</v>
          </cell>
          <cell r="F1" t="str">
            <v>Petroleum and coal products  (NAICS = 324); s.a. IP</v>
          </cell>
          <cell r="G1" t="str">
            <v>Chemical  (NAICS = 325); s.a. IP</v>
          </cell>
          <cell r="H1" t="str">
            <v>Plastics and rubber products  (NAICS = 326); s.a. IP</v>
          </cell>
          <cell r="I1" t="str">
            <v>Primary metal  (NAICS = 331); s.a. IP</v>
          </cell>
          <cell r="J1" t="str">
            <v>Machinery  (NAICS = 333); s.a. IP</v>
          </cell>
          <cell r="K1" t="str">
            <v>Motor vehicles and parts  (NAICS = 3361-3); s.a. IP</v>
          </cell>
          <cell r="L1" t="str">
            <v>Aerospace and miscellaneous transportation eq.  (NAICS = 3364-9); s.a. IP</v>
          </cell>
        </row>
        <row r="2">
          <cell r="A2" t="str">
            <v>Unit:</v>
          </cell>
          <cell r="B2" t="str">
            <v>Index:_2017_100</v>
          </cell>
          <cell r="C2" t="str">
            <v>Index:_2017_100</v>
          </cell>
          <cell r="D2" t="str">
            <v>Index:_2017_100</v>
          </cell>
          <cell r="E2" t="str">
            <v>Index:_2017_100</v>
          </cell>
          <cell r="F2" t="str">
            <v>Index:_2017_100</v>
          </cell>
          <cell r="G2" t="str">
            <v>Index:_2017_100</v>
          </cell>
          <cell r="H2" t="str">
            <v>Index:_2017_100</v>
          </cell>
          <cell r="I2" t="str">
            <v>Index:_2017_100</v>
          </cell>
          <cell r="J2" t="str">
            <v>Index:_2017_100</v>
          </cell>
          <cell r="K2" t="str">
            <v>Index:_2017_100</v>
          </cell>
          <cell r="L2" t="str">
            <v>Index:_2017_100</v>
          </cell>
        </row>
        <row r="3">
          <cell r="A3" t="str">
            <v>Multiplier:</v>
          </cell>
          <cell r="B3">
            <v>1</v>
          </cell>
          <cell r="C3">
            <v>1</v>
          </cell>
          <cell r="D3">
            <v>1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</row>
        <row r="4">
          <cell r="A4" t="str">
            <v>Currency:</v>
          </cell>
          <cell r="B4" t="str">
            <v>NA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  <cell r="H4" t="str">
            <v>NA</v>
          </cell>
          <cell r="I4" t="str">
            <v>NA</v>
          </cell>
          <cell r="J4" t="str">
            <v>NA</v>
          </cell>
          <cell r="K4" t="str">
            <v>NA</v>
          </cell>
          <cell r="L4" t="str">
            <v>NA</v>
          </cell>
        </row>
        <row r="5">
          <cell r="A5" t="str">
            <v>Unique Identifier:</v>
          </cell>
          <cell r="B5" t="str">
            <v>G17/IP_MAJOR_INDUSTRY_GROUPS/IP.B00004.S</v>
          </cell>
          <cell r="C5" t="str">
            <v>G17/IP_MAJOR_INDUSTRY_GROUPS/IP.B5610C.S</v>
          </cell>
          <cell r="D5" t="str">
            <v>G17/IP_MAJOR_INDUSTRY_GROUPS/IP.G2211.S</v>
          </cell>
          <cell r="E5" t="str">
            <v>G17/IP_MAJOR_INDUSTRY_GROUPS/IP.G2212.S</v>
          </cell>
          <cell r="F5" t="str">
            <v>G17/IP_MAJOR_INDUSTRY_GROUPS/IP.G324.S</v>
          </cell>
          <cell r="G5" t="str">
            <v>G17/IP_MAJOR_INDUSTRY_GROUPS/IP.G325.S</v>
          </cell>
          <cell r="H5" t="str">
            <v>G17/IP_MAJOR_INDUSTRY_GROUPS/IP.G326.S</v>
          </cell>
          <cell r="I5" t="str">
            <v>G17/IP_MAJOR_INDUSTRY_GROUPS/IP.G331.S</v>
          </cell>
          <cell r="J5" t="str">
            <v>G17/IP_MAJOR_INDUSTRY_GROUPS/IP.G333.S</v>
          </cell>
          <cell r="K5" t="str">
            <v>G17/IP_MAJOR_INDUSTRY_GROUPS/IP.G3361T3.S</v>
          </cell>
          <cell r="L5" t="str">
            <v>G17/IP_MAJOR_INDUSTRY_GROUPS/IP.G3364T9.S</v>
          </cell>
        </row>
        <row r="6">
          <cell r="A6" t="str">
            <v>Time Period</v>
          </cell>
          <cell r="B6" t="str">
            <v>IP.B00004.S</v>
          </cell>
          <cell r="C6" t="str">
            <v>IP.B5610C.S</v>
          </cell>
          <cell r="D6" t="str">
            <v>IP.G2211.S</v>
          </cell>
          <cell r="E6" t="str">
            <v>IP.G2212.S</v>
          </cell>
          <cell r="F6" t="str">
            <v>IP.G324.S</v>
          </cell>
          <cell r="G6" t="str">
            <v>IP.G325.S</v>
          </cell>
          <cell r="H6" t="str">
            <v>IP.G326.S</v>
          </cell>
          <cell r="I6" t="str">
            <v>IP.G331.S</v>
          </cell>
          <cell r="J6" t="str">
            <v>IP.G333.S</v>
          </cell>
          <cell r="K6" t="str">
            <v>IP.G3361T3.S</v>
          </cell>
          <cell r="L6" t="str">
            <v>IP.G3364T9.S</v>
          </cell>
        </row>
        <row r="7">
          <cell r="A7">
            <v>36526</v>
          </cell>
          <cell r="B7">
            <v>95.728800000000007</v>
          </cell>
          <cell r="C7">
            <v>87.376300000000001</v>
          </cell>
          <cell r="D7">
            <v>87.726399999999998</v>
          </cell>
          <cell r="E7">
            <v>92.817099999999996</v>
          </cell>
          <cell r="F7">
            <v>81.702699999999993</v>
          </cell>
          <cell r="G7">
            <v>102.4782</v>
          </cell>
          <cell r="H7">
            <v>112.7659</v>
          </cell>
          <cell r="I7">
            <v>121.0192</v>
          </cell>
          <cell r="J7">
            <v>109.4251</v>
          </cell>
          <cell r="K7">
            <v>87.441699999999997</v>
          </cell>
          <cell r="L7">
            <v>73.236699999999999</v>
          </cell>
        </row>
        <row r="8">
          <cell r="A8">
            <v>36557</v>
          </cell>
          <cell r="B8">
            <v>95.950500000000005</v>
          </cell>
          <cell r="C8">
            <v>87.468299999999999</v>
          </cell>
          <cell r="D8">
            <v>88.517399999999995</v>
          </cell>
          <cell r="E8">
            <v>96.545599999999993</v>
          </cell>
          <cell r="F8">
            <v>81.899799999999999</v>
          </cell>
          <cell r="G8">
            <v>102.6503</v>
          </cell>
          <cell r="H8">
            <v>112.0668</v>
          </cell>
          <cell r="I8">
            <v>118.9434</v>
          </cell>
          <cell r="J8">
            <v>108.6972</v>
          </cell>
          <cell r="K8">
            <v>86.556100000000001</v>
          </cell>
          <cell r="L8">
            <v>70.559899999999999</v>
          </cell>
        </row>
        <row r="9">
          <cell r="A9">
            <v>36586</v>
          </cell>
          <cell r="B9">
            <v>96.5749</v>
          </cell>
          <cell r="C9">
            <v>88.080500000000001</v>
          </cell>
          <cell r="D9">
            <v>87.284199999999998</v>
          </cell>
          <cell r="E9">
            <v>85.074399999999997</v>
          </cell>
          <cell r="F9">
            <v>85.098399999999998</v>
          </cell>
          <cell r="G9">
            <v>103.3986</v>
          </cell>
          <cell r="H9">
            <v>111.04179999999999</v>
          </cell>
          <cell r="I9">
            <v>120.536</v>
          </cell>
          <cell r="J9">
            <v>110.0754</v>
          </cell>
          <cell r="K9">
            <v>86.457999999999998</v>
          </cell>
          <cell r="L9">
            <v>70.115200000000002</v>
          </cell>
        </row>
        <row r="10">
          <cell r="A10">
            <v>36617</v>
          </cell>
          <cell r="B10">
            <v>97.194800000000001</v>
          </cell>
          <cell r="C10">
            <v>87.286000000000001</v>
          </cell>
          <cell r="D10">
            <v>88.273899999999998</v>
          </cell>
          <cell r="E10">
            <v>93.380099999999999</v>
          </cell>
          <cell r="F10">
            <v>83.413700000000006</v>
          </cell>
          <cell r="G10">
            <v>104.233</v>
          </cell>
          <cell r="H10">
            <v>112.7336</v>
          </cell>
          <cell r="I10">
            <v>117.55929999999999</v>
          </cell>
          <cell r="J10">
            <v>110.8583</v>
          </cell>
          <cell r="K10">
            <v>87.371700000000004</v>
          </cell>
          <cell r="L10">
            <v>68.734999999999999</v>
          </cell>
        </row>
        <row r="11">
          <cell r="A11">
            <v>36647</v>
          </cell>
          <cell r="B11">
            <v>97.184200000000004</v>
          </cell>
          <cell r="C11">
            <v>86.885000000000005</v>
          </cell>
          <cell r="D11">
            <v>91.576800000000006</v>
          </cell>
          <cell r="E11">
            <v>96.578599999999994</v>
          </cell>
          <cell r="F11">
            <v>83.252499999999998</v>
          </cell>
          <cell r="G11">
            <v>104.223</v>
          </cell>
          <cell r="H11">
            <v>111.38079999999999</v>
          </cell>
          <cell r="I11">
            <v>116.80410000000001</v>
          </cell>
          <cell r="J11">
            <v>110.75530000000001</v>
          </cell>
          <cell r="K11">
            <v>87.3035</v>
          </cell>
          <cell r="L11">
            <v>68.239000000000004</v>
          </cell>
        </row>
        <row r="12">
          <cell r="A12">
            <v>36678</v>
          </cell>
          <cell r="B12">
            <v>97.360600000000005</v>
          </cell>
          <cell r="C12">
            <v>86.926500000000004</v>
          </cell>
          <cell r="D12">
            <v>90.118600000000001</v>
          </cell>
          <cell r="E12">
            <v>96.004599999999996</v>
          </cell>
          <cell r="F12">
            <v>83.300799999999995</v>
          </cell>
          <cell r="G12">
            <v>103.06489999999999</v>
          </cell>
          <cell r="H12">
            <v>111.0446</v>
          </cell>
          <cell r="I12">
            <v>115.5624</v>
          </cell>
          <cell r="J12">
            <v>111.9115</v>
          </cell>
          <cell r="K12">
            <v>85.933700000000002</v>
          </cell>
          <cell r="L12">
            <v>69.228099999999998</v>
          </cell>
        </row>
        <row r="13">
          <cell r="A13">
            <v>36708</v>
          </cell>
          <cell r="B13">
            <v>97.445999999999998</v>
          </cell>
          <cell r="C13">
            <v>86.389499999999998</v>
          </cell>
          <cell r="D13">
            <v>87.252600000000001</v>
          </cell>
          <cell r="E13">
            <v>94.609099999999998</v>
          </cell>
          <cell r="F13">
            <v>82.256100000000004</v>
          </cell>
          <cell r="G13">
            <v>102.3672</v>
          </cell>
          <cell r="H13">
            <v>111.2786</v>
          </cell>
          <cell r="I13">
            <v>113.9974</v>
          </cell>
          <cell r="J13">
            <v>111.97969999999999</v>
          </cell>
          <cell r="K13">
            <v>82.416799999999995</v>
          </cell>
          <cell r="L13">
            <v>70.530600000000007</v>
          </cell>
        </row>
        <row r="14">
          <cell r="A14">
            <v>36739</v>
          </cell>
          <cell r="B14">
            <v>96.804299999999998</v>
          </cell>
          <cell r="C14">
            <v>86.742199999999997</v>
          </cell>
          <cell r="D14">
            <v>89.609700000000004</v>
          </cell>
          <cell r="E14">
            <v>98.926900000000003</v>
          </cell>
          <cell r="F14">
            <v>82.485100000000003</v>
          </cell>
          <cell r="G14">
            <v>102.25</v>
          </cell>
          <cell r="H14">
            <v>109.3579</v>
          </cell>
          <cell r="I14">
            <v>111.9014</v>
          </cell>
          <cell r="J14">
            <v>110.7634</v>
          </cell>
          <cell r="K14">
            <v>83.021900000000002</v>
          </cell>
          <cell r="L14">
            <v>68.963200000000001</v>
          </cell>
        </row>
        <row r="15">
          <cell r="A15">
            <v>36770</v>
          </cell>
          <cell r="B15">
            <v>97.250200000000007</v>
          </cell>
          <cell r="C15">
            <v>86.791499999999999</v>
          </cell>
          <cell r="D15">
            <v>89.979900000000001</v>
          </cell>
          <cell r="E15">
            <v>99.835099999999997</v>
          </cell>
          <cell r="F15">
            <v>83.012799999999999</v>
          </cell>
          <cell r="G15">
            <v>102.9628</v>
          </cell>
          <cell r="H15">
            <v>109.7423</v>
          </cell>
          <cell r="I15">
            <v>113.7359</v>
          </cell>
          <cell r="J15">
            <v>110.75920000000001</v>
          </cell>
          <cell r="K15">
            <v>82.595399999999998</v>
          </cell>
          <cell r="L15">
            <v>68.564599999999999</v>
          </cell>
        </row>
        <row r="16">
          <cell r="A16">
            <v>36800</v>
          </cell>
          <cell r="B16">
            <v>96.8887</v>
          </cell>
          <cell r="C16">
            <v>86.979500000000002</v>
          </cell>
          <cell r="D16">
            <v>89.321700000000007</v>
          </cell>
          <cell r="E16">
            <v>97.012299999999996</v>
          </cell>
          <cell r="F16">
            <v>81.490899999999996</v>
          </cell>
          <cell r="G16">
            <v>103.1504</v>
          </cell>
          <cell r="H16">
            <v>108.93219999999999</v>
          </cell>
          <cell r="I16">
            <v>109.18819999999999</v>
          </cell>
          <cell r="J16">
            <v>111.2701</v>
          </cell>
          <cell r="K16">
            <v>81.351200000000006</v>
          </cell>
          <cell r="L16">
            <v>70.101100000000002</v>
          </cell>
        </row>
        <row r="17">
          <cell r="A17">
            <v>36831</v>
          </cell>
          <cell r="B17">
            <v>96.627499999999998</v>
          </cell>
          <cell r="C17">
            <v>86.334400000000002</v>
          </cell>
          <cell r="D17">
            <v>91.822500000000005</v>
          </cell>
          <cell r="E17">
            <v>105.48090000000001</v>
          </cell>
          <cell r="F17">
            <v>81.729799999999997</v>
          </cell>
          <cell r="G17">
            <v>103.02419999999999</v>
          </cell>
          <cell r="H17">
            <v>107.23399999999999</v>
          </cell>
          <cell r="I17">
            <v>108.0351</v>
          </cell>
          <cell r="J17">
            <v>109.9379</v>
          </cell>
          <cell r="K17">
            <v>77.619699999999995</v>
          </cell>
          <cell r="L17">
            <v>71.769400000000005</v>
          </cell>
        </row>
        <row r="18">
          <cell r="A18">
            <v>36861</v>
          </cell>
          <cell r="B18">
            <v>96.039699999999996</v>
          </cell>
          <cell r="C18">
            <v>85.706500000000005</v>
          </cell>
          <cell r="D18">
            <v>93.894199999999998</v>
          </cell>
          <cell r="E18">
            <v>108.15900000000001</v>
          </cell>
          <cell r="F18">
            <v>80.706000000000003</v>
          </cell>
          <cell r="G18">
            <v>102.2552</v>
          </cell>
          <cell r="H18">
            <v>106.1576</v>
          </cell>
          <cell r="I18">
            <v>108.1914</v>
          </cell>
          <cell r="J18">
            <v>109.44540000000001</v>
          </cell>
          <cell r="K18">
            <v>74.969499999999996</v>
          </cell>
          <cell r="L18">
            <v>71.815200000000004</v>
          </cell>
        </row>
        <row r="19">
          <cell r="A19">
            <v>36892</v>
          </cell>
          <cell r="B19">
            <v>95.647199999999998</v>
          </cell>
          <cell r="C19">
            <v>85.276200000000003</v>
          </cell>
          <cell r="D19">
            <v>92.592200000000005</v>
          </cell>
          <cell r="E19">
            <v>102.5612</v>
          </cell>
          <cell r="F19">
            <v>80.967200000000005</v>
          </cell>
          <cell r="G19">
            <v>101.5478</v>
          </cell>
          <cell r="H19">
            <v>106.79859999999999</v>
          </cell>
          <cell r="I19">
            <v>107.367</v>
          </cell>
          <cell r="J19">
            <v>108.85599999999999</v>
          </cell>
          <cell r="K19">
            <v>71.377399999999994</v>
          </cell>
          <cell r="L19">
            <v>72.608000000000004</v>
          </cell>
        </row>
        <row r="20">
          <cell r="A20">
            <v>36923</v>
          </cell>
          <cell r="B20">
            <v>95.005300000000005</v>
          </cell>
          <cell r="C20">
            <v>85.861400000000003</v>
          </cell>
          <cell r="D20">
            <v>90.942899999999995</v>
          </cell>
          <cell r="E20">
            <v>99.024500000000003</v>
          </cell>
          <cell r="F20">
            <v>81.445999999999998</v>
          </cell>
          <cell r="G20">
            <v>101.6662</v>
          </cell>
          <cell r="H20">
            <v>105.3717</v>
          </cell>
          <cell r="I20">
            <v>105.02370000000001</v>
          </cell>
          <cell r="J20">
            <v>107.36060000000001</v>
          </cell>
          <cell r="K20">
            <v>72.990499999999997</v>
          </cell>
          <cell r="L20">
            <v>72.914400000000001</v>
          </cell>
        </row>
        <row r="21">
          <cell r="A21">
            <v>36951</v>
          </cell>
          <cell r="B21">
            <v>94.770200000000003</v>
          </cell>
          <cell r="C21">
            <v>85.373599999999996</v>
          </cell>
          <cell r="D21">
            <v>90.183199999999999</v>
          </cell>
          <cell r="E21">
            <v>99.151700000000005</v>
          </cell>
          <cell r="F21">
            <v>81.189700000000002</v>
          </cell>
          <cell r="G21">
            <v>101.1525</v>
          </cell>
          <cell r="H21">
            <v>104.3518</v>
          </cell>
          <cell r="I21">
            <v>102.4599</v>
          </cell>
          <cell r="J21">
            <v>105.9665</v>
          </cell>
          <cell r="K21">
            <v>76.992999999999995</v>
          </cell>
          <cell r="L21">
            <v>74.153000000000006</v>
          </cell>
        </row>
        <row r="22">
          <cell r="A22">
            <v>36982</v>
          </cell>
          <cell r="B22">
            <v>94.392499999999998</v>
          </cell>
          <cell r="C22">
            <v>85.341700000000003</v>
          </cell>
          <cell r="D22">
            <v>90.055199999999999</v>
          </cell>
          <cell r="E22">
            <v>96.17</v>
          </cell>
          <cell r="F22">
            <v>81.722300000000004</v>
          </cell>
          <cell r="G22">
            <v>100.244</v>
          </cell>
          <cell r="H22">
            <v>104.5522</v>
          </cell>
          <cell r="I22">
            <v>107.03830000000001</v>
          </cell>
          <cell r="J22">
            <v>101.2814</v>
          </cell>
          <cell r="K22">
            <v>77.064899999999994</v>
          </cell>
          <cell r="L22">
            <v>73.759500000000003</v>
          </cell>
        </row>
        <row r="23">
          <cell r="A23">
            <v>37012</v>
          </cell>
          <cell r="B23">
            <v>93.878799999999998</v>
          </cell>
          <cell r="C23">
            <v>84.689300000000003</v>
          </cell>
          <cell r="D23">
            <v>89.397300000000001</v>
          </cell>
          <cell r="E23">
            <v>94.880399999999995</v>
          </cell>
          <cell r="F23">
            <v>81.386899999999997</v>
          </cell>
          <cell r="G23">
            <v>99.813500000000005</v>
          </cell>
          <cell r="H23">
            <v>103.6537</v>
          </cell>
          <cell r="I23">
            <v>105.7863</v>
          </cell>
          <cell r="J23">
            <v>99.027799999999999</v>
          </cell>
          <cell r="K23">
            <v>78.993799999999993</v>
          </cell>
          <cell r="L23">
            <v>74.3369</v>
          </cell>
        </row>
        <row r="24">
          <cell r="A24">
            <v>37043</v>
          </cell>
          <cell r="B24">
            <v>93.325900000000004</v>
          </cell>
          <cell r="C24">
            <v>83.664100000000005</v>
          </cell>
          <cell r="D24">
            <v>89.734700000000004</v>
          </cell>
          <cell r="E24">
            <v>94.649299999999997</v>
          </cell>
          <cell r="F24">
            <v>82.026200000000003</v>
          </cell>
          <cell r="G24">
            <v>98.520899999999997</v>
          </cell>
          <cell r="H24">
            <v>103.767</v>
          </cell>
          <cell r="I24">
            <v>106.18210000000001</v>
          </cell>
          <cell r="J24">
            <v>98.106700000000004</v>
          </cell>
          <cell r="K24">
            <v>77.475800000000007</v>
          </cell>
          <cell r="L24">
            <v>74.723200000000006</v>
          </cell>
        </row>
        <row r="25">
          <cell r="A25">
            <v>37073</v>
          </cell>
          <cell r="B25">
            <v>92.864199999999997</v>
          </cell>
          <cell r="C25">
            <v>83.661799999999999</v>
          </cell>
          <cell r="D25">
            <v>87.8</v>
          </cell>
          <cell r="E25">
            <v>95.811999999999998</v>
          </cell>
          <cell r="F25">
            <v>82.089399999999998</v>
          </cell>
          <cell r="G25">
            <v>99.385900000000007</v>
          </cell>
          <cell r="H25">
            <v>104.1831</v>
          </cell>
          <cell r="I25">
            <v>106.4828</v>
          </cell>
          <cell r="J25">
            <v>95.738900000000001</v>
          </cell>
          <cell r="K25">
            <v>78.308700000000002</v>
          </cell>
          <cell r="L25">
            <v>75.4756</v>
          </cell>
        </row>
        <row r="26">
          <cell r="A26">
            <v>37104</v>
          </cell>
          <cell r="B26">
            <v>92.463899999999995</v>
          </cell>
          <cell r="C26">
            <v>84.119900000000001</v>
          </cell>
          <cell r="D26">
            <v>90.363699999999994</v>
          </cell>
          <cell r="E26">
            <v>96.989900000000006</v>
          </cell>
          <cell r="F26">
            <v>81.245599999999996</v>
          </cell>
          <cell r="G26">
            <v>100.80249999999999</v>
          </cell>
          <cell r="H26">
            <v>103.29349999999999</v>
          </cell>
          <cell r="I26">
            <v>104.21939999999999</v>
          </cell>
          <cell r="J26">
            <v>94.673299999999998</v>
          </cell>
          <cell r="K26">
            <v>77.688800000000001</v>
          </cell>
          <cell r="L26">
            <v>75.314400000000006</v>
          </cell>
        </row>
        <row r="27">
          <cell r="A27">
            <v>37135</v>
          </cell>
          <cell r="B27">
            <v>92.109800000000007</v>
          </cell>
          <cell r="C27">
            <v>84.795699999999997</v>
          </cell>
          <cell r="D27">
            <v>88.115700000000004</v>
          </cell>
          <cell r="E27">
            <v>97.110699999999994</v>
          </cell>
          <cell r="F27">
            <v>81.952399999999997</v>
          </cell>
          <cell r="G27">
            <v>101.6349</v>
          </cell>
          <cell r="H27">
            <v>103.4308</v>
          </cell>
          <cell r="I27">
            <v>104.4969</v>
          </cell>
          <cell r="J27">
            <v>92.770899999999997</v>
          </cell>
          <cell r="K27">
            <v>75.183999999999997</v>
          </cell>
          <cell r="L27">
            <v>76.333500000000001</v>
          </cell>
        </row>
        <row r="28">
          <cell r="A28">
            <v>37165</v>
          </cell>
          <cell r="B28">
            <v>91.712599999999995</v>
          </cell>
          <cell r="C28">
            <v>84.410499999999999</v>
          </cell>
          <cell r="D28">
            <v>88.881200000000007</v>
          </cell>
          <cell r="E28">
            <v>98.350499999999997</v>
          </cell>
          <cell r="F28">
            <v>84.130399999999995</v>
          </cell>
          <cell r="G28">
            <v>103.2889</v>
          </cell>
          <cell r="H28">
            <v>102.875</v>
          </cell>
          <cell r="I28">
            <v>100.4585</v>
          </cell>
          <cell r="J28">
            <v>91.306299999999993</v>
          </cell>
          <cell r="K28">
            <v>73.763800000000003</v>
          </cell>
          <cell r="L28">
            <v>76.452699999999993</v>
          </cell>
        </row>
        <row r="29">
          <cell r="A29">
            <v>37196</v>
          </cell>
          <cell r="B29">
            <v>91.371099999999998</v>
          </cell>
          <cell r="C29">
            <v>83.981800000000007</v>
          </cell>
          <cell r="D29">
            <v>88.234999999999999</v>
          </cell>
          <cell r="E29">
            <v>86.461200000000005</v>
          </cell>
          <cell r="F29">
            <v>83.599800000000002</v>
          </cell>
          <cell r="G29">
            <v>103.4053</v>
          </cell>
          <cell r="H29">
            <v>102.0438</v>
          </cell>
          <cell r="I29">
            <v>100.5086</v>
          </cell>
          <cell r="J29">
            <v>89.7864</v>
          </cell>
          <cell r="K29">
            <v>76.897400000000005</v>
          </cell>
          <cell r="L29">
            <v>75.128100000000003</v>
          </cell>
        </row>
        <row r="30">
          <cell r="A30">
            <v>37226</v>
          </cell>
          <cell r="B30">
            <v>91.543199999999999</v>
          </cell>
          <cell r="C30">
            <v>82.792400000000001</v>
          </cell>
          <cell r="D30">
            <v>86.814400000000006</v>
          </cell>
          <cell r="E30">
            <v>87.142099999999999</v>
          </cell>
          <cell r="F30">
            <v>82.781599999999997</v>
          </cell>
          <cell r="G30">
            <v>103.3673</v>
          </cell>
          <cell r="H30">
            <v>102.96729999999999</v>
          </cell>
          <cell r="I30">
            <v>95.183300000000003</v>
          </cell>
          <cell r="J30">
            <v>88.388900000000007</v>
          </cell>
          <cell r="K30">
            <v>79.806799999999996</v>
          </cell>
          <cell r="L30">
            <v>73.818399999999997</v>
          </cell>
        </row>
        <row r="31">
          <cell r="A31">
            <v>37257</v>
          </cell>
          <cell r="B31">
            <v>92.163399999999996</v>
          </cell>
          <cell r="C31">
            <v>83.108800000000002</v>
          </cell>
          <cell r="D31">
            <v>88.738600000000005</v>
          </cell>
          <cell r="E31">
            <v>89.318399999999997</v>
          </cell>
          <cell r="F31">
            <v>85.383799999999994</v>
          </cell>
          <cell r="G31">
            <v>106.3904</v>
          </cell>
          <cell r="H31">
            <v>103.62569999999999</v>
          </cell>
          <cell r="I31">
            <v>101.5645</v>
          </cell>
          <cell r="J31">
            <v>90.379199999999997</v>
          </cell>
          <cell r="K31">
            <v>79.244699999999995</v>
          </cell>
          <cell r="L31">
            <v>73.876199999999997</v>
          </cell>
        </row>
        <row r="32">
          <cell r="A32">
            <v>37288</v>
          </cell>
          <cell r="B32">
            <v>92.151899999999998</v>
          </cell>
          <cell r="C32">
            <v>82.971400000000003</v>
          </cell>
          <cell r="D32">
            <v>89.020700000000005</v>
          </cell>
          <cell r="E32">
            <v>90.919300000000007</v>
          </cell>
          <cell r="F32">
            <v>86.840999999999994</v>
          </cell>
          <cell r="G32">
            <v>104.93170000000001</v>
          </cell>
          <cell r="H32">
            <v>104.7495</v>
          </cell>
          <cell r="I32">
            <v>101.3565</v>
          </cell>
          <cell r="J32">
            <v>89.927599999999998</v>
          </cell>
          <cell r="K32">
            <v>79.650899999999993</v>
          </cell>
          <cell r="L32">
            <v>72.663600000000002</v>
          </cell>
        </row>
        <row r="33">
          <cell r="A33">
            <v>37316</v>
          </cell>
          <cell r="B33">
            <v>92.783100000000005</v>
          </cell>
          <cell r="C33">
            <v>82.228499999999997</v>
          </cell>
          <cell r="D33">
            <v>90.982799999999997</v>
          </cell>
          <cell r="E33">
            <v>96.597200000000001</v>
          </cell>
          <cell r="F33">
            <v>86.832499999999996</v>
          </cell>
          <cell r="G33">
            <v>105.2321</v>
          </cell>
          <cell r="H33">
            <v>106.72410000000001</v>
          </cell>
          <cell r="I33">
            <v>103.5256</v>
          </cell>
          <cell r="J33">
            <v>90.753699999999995</v>
          </cell>
          <cell r="K33">
            <v>80.735799999999998</v>
          </cell>
          <cell r="L33">
            <v>72.201499999999996</v>
          </cell>
        </row>
        <row r="34">
          <cell r="A34">
            <v>37347</v>
          </cell>
          <cell r="B34">
            <v>93.052700000000002</v>
          </cell>
          <cell r="C34">
            <v>82.899799999999999</v>
          </cell>
          <cell r="D34">
            <v>93.0458</v>
          </cell>
          <cell r="E34">
            <v>99.558400000000006</v>
          </cell>
          <cell r="F34">
            <v>87.120699999999999</v>
          </cell>
          <cell r="G34">
            <v>104.83159999999999</v>
          </cell>
          <cell r="H34">
            <v>107.00279999999999</v>
          </cell>
          <cell r="I34">
            <v>103.79689999999999</v>
          </cell>
          <cell r="J34">
            <v>92.455699999999993</v>
          </cell>
          <cell r="K34">
            <v>83.185299999999998</v>
          </cell>
          <cell r="L34">
            <v>71.305099999999996</v>
          </cell>
        </row>
        <row r="35">
          <cell r="A35">
            <v>37377</v>
          </cell>
          <cell r="B35">
            <v>93.530500000000004</v>
          </cell>
          <cell r="C35">
            <v>83.757300000000001</v>
          </cell>
          <cell r="D35">
            <v>92.057900000000004</v>
          </cell>
          <cell r="E35">
            <v>101.85509999999999</v>
          </cell>
          <cell r="F35">
            <v>86.842100000000002</v>
          </cell>
          <cell r="G35">
            <v>107.1786</v>
          </cell>
          <cell r="H35">
            <v>107.6978</v>
          </cell>
          <cell r="I35">
            <v>105.1854</v>
          </cell>
          <cell r="J35">
            <v>93.591099999999997</v>
          </cell>
          <cell r="K35">
            <v>83.472700000000003</v>
          </cell>
          <cell r="L35">
            <v>70.609399999999994</v>
          </cell>
        </row>
        <row r="36">
          <cell r="A36">
            <v>37408</v>
          </cell>
          <cell r="B36">
            <v>94.442400000000006</v>
          </cell>
          <cell r="C36">
            <v>83.629099999999994</v>
          </cell>
          <cell r="D36">
            <v>92.391099999999994</v>
          </cell>
          <cell r="E36">
            <v>100.0462</v>
          </cell>
          <cell r="F36">
            <v>86.429100000000005</v>
          </cell>
          <cell r="G36">
            <v>109.3064</v>
          </cell>
          <cell r="H36">
            <v>108.7899</v>
          </cell>
          <cell r="I36">
            <v>106.4074</v>
          </cell>
          <cell r="J36">
            <v>94.783299999999997</v>
          </cell>
          <cell r="K36">
            <v>85.005700000000004</v>
          </cell>
          <cell r="L36">
            <v>70.261499999999998</v>
          </cell>
        </row>
        <row r="37">
          <cell r="A37">
            <v>37438</v>
          </cell>
          <cell r="B37">
            <v>94.343100000000007</v>
          </cell>
          <cell r="C37">
            <v>83.481499999999997</v>
          </cell>
          <cell r="D37">
            <v>93.672399999999996</v>
          </cell>
          <cell r="E37">
            <v>98.321200000000005</v>
          </cell>
          <cell r="F37">
            <v>86.4178</v>
          </cell>
          <cell r="G37">
            <v>108.947</v>
          </cell>
          <cell r="H37">
            <v>109.1086</v>
          </cell>
          <cell r="I37">
            <v>103.7838</v>
          </cell>
          <cell r="J37">
            <v>94.929100000000005</v>
          </cell>
          <cell r="K37">
            <v>87.391800000000003</v>
          </cell>
          <cell r="L37">
            <v>69.783900000000003</v>
          </cell>
        </row>
        <row r="38">
          <cell r="A38">
            <v>37469</v>
          </cell>
          <cell r="B38">
            <v>94.434799999999996</v>
          </cell>
          <cell r="C38">
            <v>83.704999999999998</v>
          </cell>
          <cell r="D38">
            <v>91.589200000000005</v>
          </cell>
          <cell r="E38">
            <v>96.317300000000003</v>
          </cell>
          <cell r="F38">
            <v>85.835999999999999</v>
          </cell>
          <cell r="G38">
            <v>107.6283</v>
          </cell>
          <cell r="H38">
            <v>109.1014</v>
          </cell>
          <cell r="I38">
            <v>107.3914</v>
          </cell>
          <cell r="J38">
            <v>96.417000000000002</v>
          </cell>
          <cell r="K38">
            <v>86.106800000000007</v>
          </cell>
          <cell r="L38">
            <v>69.939499999999995</v>
          </cell>
        </row>
        <row r="39">
          <cell r="A39">
            <v>37500</v>
          </cell>
          <cell r="B39">
            <v>94.496499999999997</v>
          </cell>
          <cell r="C39">
            <v>82.542299999999997</v>
          </cell>
          <cell r="D39">
            <v>93.564099999999996</v>
          </cell>
          <cell r="E39">
            <v>95.915300000000002</v>
          </cell>
          <cell r="F39">
            <v>85.801299999999998</v>
          </cell>
          <cell r="G39">
            <v>107.7753</v>
          </cell>
          <cell r="H39">
            <v>109.0316</v>
          </cell>
          <cell r="I39">
            <v>105.4132</v>
          </cell>
          <cell r="J39">
            <v>97.099100000000007</v>
          </cell>
          <cell r="K39">
            <v>85.720799999999997</v>
          </cell>
          <cell r="L39">
            <v>69.942700000000002</v>
          </cell>
        </row>
        <row r="40">
          <cell r="A40">
            <v>37530</v>
          </cell>
          <cell r="B40">
            <v>94.2</v>
          </cell>
          <cell r="C40">
            <v>81.476500000000001</v>
          </cell>
          <cell r="D40">
            <v>93.853200000000001</v>
          </cell>
          <cell r="E40">
            <v>103.30110000000001</v>
          </cell>
          <cell r="F40">
            <v>84.495400000000004</v>
          </cell>
          <cell r="G40">
            <v>107.0711</v>
          </cell>
          <cell r="H40">
            <v>108.95399999999999</v>
          </cell>
          <cell r="I40">
            <v>105.21250000000001</v>
          </cell>
          <cell r="J40">
            <v>97.249200000000002</v>
          </cell>
          <cell r="K40">
            <v>84.772599999999997</v>
          </cell>
          <cell r="L40">
            <v>69.493399999999994</v>
          </cell>
        </row>
        <row r="41">
          <cell r="A41">
            <v>37561</v>
          </cell>
          <cell r="B41">
            <v>94.664699999999996</v>
          </cell>
          <cell r="C41">
            <v>83.072199999999995</v>
          </cell>
          <cell r="D41">
            <v>92.920599999999993</v>
          </cell>
          <cell r="E41">
            <v>107.4237</v>
          </cell>
          <cell r="F41">
            <v>87.584900000000005</v>
          </cell>
          <cell r="G41">
            <v>107.8377</v>
          </cell>
          <cell r="H41">
            <v>108.542</v>
          </cell>
          <cell r="I41">
            <v>106.48439999999999</v>
          </cell>
          <cell r="J41">
            <v>97.515600000000006</v>
          </cell>
          <cell r="K41">
            <v>88.1845</v>
          </cell>
          <cell r="L41">
            <v>68.542599999999993</v>
          </cell>
        </row>
        <row r="42">
          <cell r="A42">
            <v>37591</v>
          </cell>
          <cell r="B42">
            <v>94.096999999999994</v>
          </cell>
          <cell r="C42">
            <v>83.58</v>
          </cell>
          <cell r="D42">
            <v>92.425200000000004</v>
          </cell>
          <cell r="E42">
            <v>103.0639</v>
          </cell>
          <cell r="F42">
            <v>87.957499999999996</v>
          </cell>
          <cell r="G42">
            <v>107.3338</v>
          </cell>
          <cell r="H42">
            <v>108.336</v>
          </cell>
          <cell r="I42">
            <v>101.60550000000001</v>
          </cell>
          <cell r="J42">
            <v>95.146699999999996</v>
          </cell>
          <cell r="K42">
            <v>84.847399999999993</v>
          </cell>
          <cell r="L42">
            <v>68.785799999999995</v>
          </cell>
        </row>
        <row r="43">
          <cell r="A43">
            <v>37622</v>
          </cell>
          <cell r="B43">
            <v>94.848299999999995</v>
          </cell>
          <cell r="C43">
            <v>83.574799999999996</v>
          </cell>
          <cell r="D43">
            <v>94.272400000000005</v>
          </cell>
          <cell r="E43">
            <v>101.34220000000001</v>
          </cell>
          <cell r="F43">
            <v>86.270499999999998</v>
          </cell>
          <cell r="G43">
            <v>108.85680000000001</v>
          </cell>
          <cell r="H43">
            <v>108.524</v>
          </cell>
          <cell r="I43">
            <v>104.9452</v>
          </cell>
          <cell r="J43">
            <v>95.0124</v>
          </cell>
          <cell r="K43">
            <v>89.081400000000002</v>
          </cell>
          <cell r="L43">
            <v>68.127499999999998</v>
          </cell>
        </row>
        <row r="44">
          <cell r="A44">
            <v>37653</v>
          </cell>
          <cell r="B44">
            <v>94.743600000000001</v>
          </cell>
          <cell r="C44">
            <v>83.430499999999995</v>
          </cell>
          <cell r="D44">
            <v>95.800899999999999</v>
          </cell>
          <cell r="E44">
            <v>107.20350000000001</v>
          </cell>
          <cell r="F44">
            <v>85.770200000000003</v>
          </cell>
          <cell r="G44">
            <v>109.2355</v>
          </cell>
          <cell r="H44">
            <v>108.568</v>
          </cell>
          <cell r="I44">
            <v>102.7957</v>
          </cell>
          <cell r="J44">
            <v>96.165400000000005</v>
          </cell>
          <cell r="K44">
            <v>85.988600000000005</v>
          </cell>
          <cell r="L44">
            <v>68.091999999999999</v>
          </cell>
        </row>
        <row r="45">
          <cell r="A45">
            <v>37681</v>
          </cell>
          <cell r="B45">
            <v>94.838700000000003</v>
          </cell>
          <cell r="C45">
            <v>83.604699999999994</v>
          </cell>
          <cell r="D45">
            <v>93.148799999999994</v>
          </cell>
          <cell r="E45">
            <v>98.974199999999996</v>
          </cell>
          <cell r="F45">
            <v>86.810599999999994</v>
          </cell>
          <cell r="G45">
            <v>108.9329</v>
          </cell>
          <cell r="H45">
            <v>108.5282</v>
          </cell>
          <cell r="I45">
            <v>98.486500000000007</v>
          </cell>
          <cell r="J45">
            <v>96.047300000000007</v>
          </cell>
          <cell r="K45">
            <v>85.652900000000002</v>
          </cell>
          <cell r="L45">
            <v>68.678899999999999</v>
          </cell>
        </row>
        <row r="46">
          <cell r="A46">
            <v>37712</v>
          </cell>
          <cell r="B46">
            <v>94.116200000000006</v>
          </cell>
          <cell r="C46">
            <v>83.185900000000004</v>
          </cell>
          <cell r="D46">
            <v>93.363600000000005</v>
          </cell>
          <cell r="E46">
            <v>98.748599999999996</v>
          </cell>
          <cell r="F46">
            <v>84.112300000000005</v>
          </cell>
          <cell r="G46">
            <v>108.9851</v>
          </cell>
          <cell r="H46">
            <v>106.8707</v>
          </cell>
          <cell r="I46">
            <v>99.444699999999997</v>
          </cell>
          <cell r="J46">
            <v>93.594899999999996</v>
          </cell>
          <cell r="K46">
            <v>84.673599999999993</v>
          </cell>
          <cell r="L46">
            <v>68.319800000000001</v>
          </cell>
        </row>
        <row r="47">
          <cell r="A47">
            <v>37742</v>
          </cell>
          <cell r="B47">
            <v>94.164100000000005</v>
          </cell>
          <cell r="C47">
            <v>82.597700000000003</v>
          </cell>
          <cell r="D47">
            <v>93.159499999999994</v>
          </cell>
          <cell r="E47">
            <v>99.377899999999997</v>
          </cell>
          <cell r="F47">
            <v>85.064800000000005</v>
          </cell>
          <cell r="G47">
            <v>107.31910000000001</v>
          </cell>
          <cell r="H47">
            <v>107.5044</v>
          </cell>
          <cell r="I47">
            <v>98.904899999999998</v>
          </cell>
          <cell r="J47">
            <v>93.755300000000005</v>
          </cell>
          <cell r="K47">
            <v>84.109300000000005</v>
          </cell>
          <cell r="L47">
            <v>68.107100000000003</v>
          </cell>
        </row>
        <row r="48">
          <cell r="A48">
            <v>37773</v>
          </cell>
          <cell r="B48">
            <v>94.585300000000004</v>
          </cell>
          <cell r="C48">
            <v>83.0167</v>
          </cell>
          <cell r="D48">
            <v>90.645099999999999</v>
          </cell>
          <cell r="E48">
            <v>96.948599999999999</v>
          </cell>
          <cell r="F48">
            <v>82.685699999999997</v>
          </cell>
          <cell r="G48">
            <v>108.6507</v>
          </cell>
          <cell r="H48">
            <v>106.73009999999999</v>
          </cell>
          <cell r="I48">
            <v>102.8152</v>
          </cell>
          <cell r="J48">
            <v>93.142499999999998</v>
          </cell>
          <cell r="K48">
            <v>85.132599999999996</v>
          </cell>
          <cell r="L48">
            <v>67.787400000000005</v>
          </cell>
        </row>
        <row r="49">
          <cell r="A49">
            <v>37803</v>
          </cell>
          <cell r="B49">
            <v>94.894400000000005</v>
          </cell>
          <cell r="C49">
            <v>82.533000000000001</v>
          </cell>
          <cell r="D49">
            <v>93.688400000000001</v>
          </cell>
          <cell r="E49">
            <v>97.845200000000006</v>
          </cell>
          <cell r="F49">
            <v>82.773099999999999</v>
          </cell>
          <cell r="G49">
            <v>108.81950000000001</v>
          </cell>
          <cell r="H49">
            <v>106.4885</v>
          </cell>
          <cell r="I49">
            <v>100.01139999999999</v>
          </cell>
          <cell r="J49">
            <v>92.141900000000007</v>
          </cell>
          <cell r="K49">
            <v>88.717600000000004</v>
          </cell>
          <cell r="L49">
            <v>67.402100000000004</v>
          </cell>
        </row>
        <row r="50">
          <cell r="A50">
            <v>37834</v>
          </cell>
          <cell r="B50">
            <v>94.444699999999997</v>
          </cell>
          <cell r="C50">
            <v>83.310299999999998</v>
          </cell>
          <cell r="D50">
            <v>94.361000000000004</v>
          </cell>
          <cell r="E50">
            <v>96.854699999999994</v>
          </cell>
          <cell r="F50">
            <v>83.924099999999996</v>
          </cell>
          <cell r="G50">
            <v>108.541</v>
          </cell>
          <cell r="H50">
            <v>107.4594</v>
          </cell>
          <cell r="I50">
            <v>100.07380000000001</v>
          </cell>
          <cell r="J50">
            <v>92.664000000000001</v>
          </cell>
          <cell r="K50">
            <v>84.733800000000002</v>
          </cell>
          <cell r="L50">
            <v>67.2166</v>
          </cell>
        </row>
        <row r="51">
          <cell r="A51">
            <v>37865</v>
          </cell>
          <cell r="B51">
            <v>95.247399999999999</v>
          </cell>
          <cell r="C51">
            <v>83.669899999999998</v>
          </cell>
          <cell r="D51">
            <v>93.317599999999999</v>
          </cell>
          <cell r="E51">
            <v>97.1922</v>
          </cell>
          <cell r="F51">
            <v>85.044899999999998</v>
          </cell>
          <cell r="G51">
            <v>109.0234</v>
          </cell>
          <cell r="H51">
            <v>107.4284</v>
          </cell>
          <cell r="I51">
            <v>98.836399999999998</v>
          </cell>
          <cell r="J51">
            <v>92.652699999999996</v>
          </cell>
          <cell r="K51">
            <v>89.571700000000007</v>
          </cell>
          <cell r="L51">
            <v>66.877399999999994</v>
          </cell>
        </row>
        <row r="52">
          <cell r="A52">
            <v>37895</v>
          </cell>
          <cell r="B52">
            <v>95.352599999999995</v>
          </cell>
          <cell r="C52">
            <v>83.578900000000004</v>
          </cell>
          <cell r="D52">
            <v>93.706400000000002</v>
          </cell>
          <cell r="E52">
            <v>98.619500000000002</v>
          </cell>
          <cell r="F52">
            <v>85.536299999999997</v>
          </cell>
          <cell r="G52">
            <v>108.55549999999999</v>
          </cell>
          <cell r="H52">
            <v>107.9828</v>
          </cell>
          <cell r="I52">
            <v>103.8867</v>
          </cell>
          <cell r="J52">
            <v>91.232399999999998</v>
          </cell>
          <cell r="K52">
            <v>88.381399999999999</v>
          </cell>
          <cell r="L52">
            <v>66.803399999999996</v>
          </cell>
        </row>
        <row r="53">
          <cell r="A53">
            <v>37926</v>
          </cell>
          <cell r="B53">
            <v>96.181200000000004</v>
          </cell>
          <cell r="C53">
            <v>83.275899999999993</v>
          </cell>
          <cell r="D53">
            <v>94.224100000000007</v>
          </cell>
          <cell r="E53">
            <v>96.8947</v>
          </cell>
          <cell r="F53">
            <v>86.007999999999996</v>
          </cell>
          <cell r="G53">
            <v>109.4847</v>
          </cell>
          <cell r="H53">
            <v>108.5745</v>
          </cell>
          <cell r="I53">
            <v>106.9654</v>
          </cell>
          <cell r="J53">
            <v>94.277299999999997</v>
          </cell>
          <cell r="K53">
            <v>89.354200000000006</v>
          </cell>
          <cell r="L53">
            <v>66.572599999999994</v>
          </cell>
        </row>
        <row r="54">
          <cell r="A54">
            <v>37956</v>
          </cell>
          <cell r="B54">
            <v>96.108699999999999</v>
          </cell>
          <cell r="C54">
            <v>83.302199999999999</v>
          </cell>
          <cell r="D54">
            <v>95.298400000000001</v>
          </cell>
          <cell r="E54">
            <v>98.455699999999993</v>
          </cell>
          <cell r="F54">
            <v>87.733000000000004</v>
          </cell>
          <cell r="G54">
            <v>109.6896</v>
          </cell>
          <cell r="H54">
            <v>107.6105</v>
          </cell>
          <cell r="I54">
            <v>111.1194</v>
          </cell>
          <cell r="J54">
            <v>93.831100000000006</v>
          </cell>
          <cell r="K54">
            <v>89.209699999999998</v>
          </cell>
          <cell r="L54">
            <v>65.527100000000004</v>
          </cell>
        </row>
        <row r="55">
          <cell r="A55">
            <v>37987</v>
          </cell>
          <cell r="B55">
            <v>96.033299999999997</v>
          </cell>
          <cell r="C55">
            <v>83.942400000000006</v>
          </cell>
          <cell r="D55">
            <v>96.545500000000004</v>
          </cell>
          <cell r="E55">
            <v>102.6681</v>
          </cell>
          <cell r="F55">
            <v>86.321799999999996</v>
          </cell>
          <cell r="G55">
            <v>110.0047</v>
          </cell>
          <cell r="H55">
            <v>107.7978</v>
          </cell>
          <cell r="I55">
            <v>104.5324</v>
          </cell>
          <cell r="J55">
            <v>94.2453</v>
          </cell>
          <cell r="K55">
            <v>89.977800000000002</v>
          </cell>
          <cell r="L55">
            <v>64.314300000000003</v>
          </cell>
        </row>
        <row r="56">
          <cell r="A56">
            <v>38018</v>
          </cell>
          <cell r="B56">
            <v>96.755700000000004</v>
          </cell>
          <cell r="C56">
            <v>83.366500000000002</v>
          </cell>
          <cell r="D56">
            <v>97.178399999999996</v>
          </cell>
          <cell r="E56">
            <v>105.42700000000001</v>
          </cell>
          <cell r="F56">
            <v>87.023099999999999</v>
          </cell>
          <cell r="G56">
            <v>110.43429999999999</v>
          </cell>
          <cell r="H56">
            <v>108.4307</v>
          </cell>
          <cell r="I56">
            <v>107.4111</v>
          </cell>
          <cell r="J56">
            <v>96.397199999999998</v>
          </cell>
          <cell r="K56">
            <v>90.388900000000007</v>
          </cell>
          <cell r="L56">
            <v>65.418700000000001</v>
          </cell>
        </row>
        <row r="57">
          <cell r="A57">
            <v>38047</v>
          </cell>
          <cell r="B57">
            <v>96.737200000000001</v>
          </cell>
          <cell r="C57">
            <v>83.532200000000003</v>
          </cell>
          <cell r="D57">
            <v>94.788700000000006</v>
          </cell>
          <cell r="E57">
            <v>91.546899999999994</v>
          </cell>
          <cell r="F57">
            <v>88.532700000000006</v>
          </cell>
          <cell r="G57">
            <v>110.9755</v>
          </cell>
          <cell r="H57">
            <v>108.5655</v>
          </cell>
          <cell r="I57">
            <v>109.4877</v>
          </cell>
          <cell r="J57">
            <v>96.132499999999993</v>
          </cell>
          <cell r="K57">
            <v>89.624399999999994</v>
          </cell>
          <cell r="L57">
            <v>65.343500000000006</v>
          </cell>
        </row>
        <row r="58">
          <cell r="A58">
            <v>38078</v>
          </cell>
          <cell r="B58">
            <v>97.078400000000002</v>
          </cell>
          <cell r="C58">
            <v>83.769199999999998</v>
          </cell>
          <cell r="D58">
            <v>95.825299999999999</v>
          </cell>
          <cell r="E58">
            <v>95.679500000000004</v>
          </cell>
          <cell r="F58">
            <v>88.337500000000006</v>
          </cell>
          <cell r="G58">
            <v>111.4087</v>
          </cell>
          <cell r="H58">
            <v>108.6888</v>
          </cell>
          <cell r="I58">
            <v>108.5848</v>
          </cell>
          <cell r="J58">
            <v>96.191800000000001</v>
          </cell>
          <cell r="K58">
            <v>88.973200000000006</v>
          </cell>
          <cell r="L58">
            <v>65.144300000000001</v>
          </cell>
        </row>
        <row r="59">
          <cell r="A59">
            <v>38108</v>
          </cell>
          <cell r="B59">
            <v>97.760900000000007</v>
          </cell>
          <cell r="C59">
            <v>83.966999999999999</v>
          </cell>
          <cell r="D59">
            <v>97.886399999999995</v>
          </cell>
          <cell r="E59">
            <v>96.709299999999999</v>
          </cell>
          <cell r="F59">
            <v>88.926100000000005</v>
          </cell>
          <cell r="G59">
            <v>112.0198</v>
          </cell>
          <cell r="H59">
            <v>110.15689999999999</v>
          </cell>
          <cell r="I59">
            <v>110.5243</v>
          </cell>
          <cell r="J59">
            <v>97.275899999999993</v>
          </cell>
          <cell r="K59">
            <v>87.854699999999994</v>
          </cell>
          <cell r="L59">
            <v>65.139399999999995</v>
          </cell>
        </row>
        <row r="60">
          <cell r="A60">
            <v>38139</v>
          </cell>
          <cell r="B60">
            <v>97.110600000000005</v>
          </cell>
          <cell r="C60">
            <v>83.965299999999999</v>
          </cell>
          <cell r="D60">
            <v>95.575100000000006</v>
          </cell>
          <cell r="E60">
            <v>94.885000000000005</v>
          </cell>
          <cell r="F60">
            <v>89.474599999999995</v>
          </cell>
          <cell r="G60">
            <v>111.4324</v>
          </cell>
          <cell r="H60">
            <v>109.68680000000001</v>
          </cell>
          <cell r="I60">
            <v>110.5361</v>
          </cell>
          <cell r="J60">
            <v>97.521100000000004</v>
          </cell>
          <cell r="K60">
            <v>84.8386</v>
          </cell>
          <cell r="L60">
            <v>64.855099999999993</v>
          </cell>
        </row>
        <row r="61">
          <cell r="A61">
            <v>38169</v>
          </cell>
          <cell r="B61">
            <v>97.971800000000002</v>
          </cell>
          <cell r="C61">
            <v>85.410799999999995</v>
          </cell>
          <cell r="D61">
            <v>93.739900000000006</v>
          </cell>
          <cell r="E61">
            <v>95.751499999999993</v>
          </cell>
          <cell r="F61">
            <v>90.944100000000006</v>
          </cell>
          <cell r="G61">
            <v>112.6604</v>
          </cell>
          <cell r="H61">
            <v>109.3416</v>
          </cell>
          <cell r="I61">
            <v>115.1123</v>
          </cell>
          <cell r="J61">
            <v>99.559399999999997</v>
          </cell>
          <cell r="K61">
            <v>84.1601</v>
          </cell>
          <cell r="L61">
            <v>66.296899999999994</v>
          </cell>
        </row>
        <row r="62">
          <cell r="A62">
            <v>38200</v>
          </cell>
          <cell r="B62">
            <v>98.427800000000005</v>
          </cell>
          <cell r="C62">
            <v>84.890799999999999</v>
          </cell>
          <cell r="D62">
            <v>91.082400000000007</v>
          </cell>
          <cell r="E62">
            <v>95.981999999999999</v>
          </cell>
          <cell r="F62">
            <v>91.721500000000006</v>
          </cell>
          <cell r="G62">
            <v>113.86199999999999</v>
          </cell>
          <cell r="H62">
            <v>109.16679999999999</v>
          </cell>
          <cell r="I62">
            <v>112.4324</v>
          </cell>
          <cell r="J62">
            <v>98.045699999999997</v>
          </cell>
          <cell r="K62">
            <v>86.379000000000005</v>
          </cell>
          <cell r="L62">
            <v>66.813400000000001</v>
          </cell>
        </row>
        <row r="63">
          <cell r="A63">
            <v>38231</v>
          </cell>
          <cell r="B63">
            <v>98.443200000000004</v>
          </cell>
          <cell r="C63">
            <v>83.402699999999996</v>
          </cell>
          <cell r="D63">
            <v>95.384900000000002</v>
          </cell>
          <cell r="E63">
            <v>97.134</v>
          </cell>
          <cell r="F63">
            <v>89.623500000000007</v>
          </cell>
          <cell r="G63">
            <v>114.5347</v>
          </cell>
          <cell r="H63">
            <v>108.4769</v>
          </cell>
          <cell r="I63">
            <v>113.72239999999999</v>
          </cell>
          <cell r="J63">
            <v>98.641499999999994</v>
          </cell>
          <cell r="K63">
            <v>85.919700000000006</v>
          </cell>
          <cell r="L63">
            <v>67.025800000000004</v>
          </cell>
        </row>
        <row r="64">
          <cell r="A64">
            <v>38261</v>
          </cell>
          <cell r="B64">
            <v>99.341399999999993</v>
          </cell>
          <cell r="C64">
            <v>84.473799999999997</v>
          </cell>
          <cell r="D64">
            <v>95.867500000000007</v>
          </cell>
          <cell r="E64">
            <v>95.848200000000006</v>
          </cell>
          <cell r="F64">
            <v>92.572199999999995</v>
          </cell>
          <cell r="G64">
            <v>116.1536</v>
          </cell>
          <cell r="H64">
            <v>109.8745</v>
          </cell>
          <cell r="I64">
            <v>114.4204</v>
          </cell>
          <cell r="J64">
            <v>99.380799999999994</v>
          </cell>
          <cell r="K64">
            <v>87.976600000000005</v>
          </cell>
          <cell r="L64">
            <v>67.774000000000001</v>
          </cell>
        </row>
        <row r="65">
          <cell r="A65">
            <v>38292</v>
          </cell>
          <cell r="B65">
            <v>99.339299999999994</v>
          </cell>
          <cell r="C65">
            <v>85.825599999999994</v>
          </cell>
          <cell r="D65">
            <v>96.025599999999997</v>
          </cell>
          <cell r="E65">
            <v>96.9773</v>
          </cell>
          <cell r="F65">
            <v>93.419200000000004</v>
          </cell>
          <cell r="G65">
            <v>116.4247</v>
          </cell>
          <cell r="H65">
            <v>108.6694</v>
          </cell>
          <cell r="I65">
            <v>114.6016</v>
          </cell>
          <cell r="J65">
            <v>99.372500000000002</v>
          </cell>
          <cell r="K65">
            <v>85.937899999999999</v>
          </cell>
          <cell r="L65">
            <v>69.168099999999995</v>
          </cell>
        </row>
        <row r="66">
          <cell r="A66">
            <v>38322</v>
          </cell>
          <cell r="B66">
            <v>100.101</v>
          </cell>
          <cell r="C66">
            <v>86.323700000000002</v>
          </cell>
          <cell r="D66">
            <v>97.807100000000005</v>
          </cell>
          <cell r="E66">
            <v>98.634600000000006</v>
          </cell>
          <cell r="F66">
            <v>94.973299999999995</v>
          </cell>
          <cell r="G66">
            <v>118.01779999999999</v>
          </cell>
          <cell r="H66">
            <v>109.6534</v>
          </cell>
          <cell r="I66">
            <v>112.8408</v>
          </cell>
          <cell r="J66">
            <v>98.337400000000002</v>
          </cell>
          <cell r="K66">
            <v>87.702100000000002</v>
          </cell>
          <cell r="L66">
            <v>70.062799999999996</v>
          </cell>
        </row>
        <row r="67">
          <cell r="A67">
            <v>38353</v>
          </cell>
          <cell r="B67">
            <v>100.7372</v>
          </cell>
          <cell r="C67">
            <v>85.836500000000001</v>
          </cell>
          <cell r="D67">
            <v>96.306299999999993</v>
          </cell>
          <cell r="E67">
            <v>96.665800000000004</v>
          </cell>
          <cell r="F67">
            <v>93.419700000000006</v>
          </cell>
          <cell r="G67">
            <v>116.95</v>
          </cell>
          <cell r="H67">
            <v>110.20140000000001</v>
          </cell>
          <cell r="I67">
            <v>111.8434</v>
          </cell>
          <cell r="J67">
            <v>101.22709999999999</v>
          </cell>
          <cell r="K67">
            <v>87.280799999999999</v>
          </cell>
          <cell r="L67">
            <v>69.918499999999995</v>
          </cell>
        </row>
        <row r="68">
          <cell r="A68">
            <v>38384</v>
          </cell>
          <cell r="B68">
            <v>101.5774</v>
          </cell>
          <cell r="C68">
            <v>86.8596</v>
          </cell>
          <cell r="D68">
            <v>95.395399999999995</v>
          </cell>
          <cell r="E68">
            <v>94.072000000000003</v>
          </cell>
          <cell r="F68">
            <v>95.773799999999994</v>
          </cell>
          <cell r="G68">
            <v>118.70699999999999</v>
          </cell>
          <cell r="H68">
            <v>109.6596</v>
          </cell>
          <cell r="I68">
            <v>111.5479</v>
          </cell>
          <cell r="J68">
            <v>101.5454</v>
          </cell>
          <cell r="K68">
            <v>90.844700000000003</v>
          </cell>
          <cell r="L68">
            <v>72.466700000000003</v>
          </cell>
        </row>
        <row r="69">
          <cell r="A69">
            <v>38412</v>
          </cell>
          <cell r="B69">
            <v>101.10890000000001</v>
          </cell>
          <cell r="C69">
            <v>86.902500000000003</v>
          </cell>
          <cell r="D69">
            <v>97.815799999999996</v>
          </cell>
          <cell r="E69">
            <v>99.432299999999998</v>
          </cell>
          <cell r="F69">
            <v>94.495500000000007</v>
          </cell>
          <cell r="G69">
            <v>118.944</v>
          </cell>
          <cell r="H69">
            <v>109.03100000000001</v>
          </cell>
          <cell r="I69">
            <v>110.9346</v>
          </cell>
          <cell r="J69">
            <v>101.4559</v>
          </cell>
          <cell r="K69">
            <v>87.0124</v>
          </cell>
          <cell r="L69">
            <v>74.023600000000002</v>
          </cell>
        </row>
        <row r="70">
          <cell r="A70">
            <v>38443</v>
          </cell>
          <cell r="B70">
            <v>101.5283</v>
          </cell>
          <cell r="C70">
            <v>86.750299999999996</v>
          </cell>
          <cell r="D70">
            <v>96.238699999999994</v>
          </cell>
          <cell r="E70">
            <v>96.101600000000005</v>
          </cell>
          <cell r="F70">
            <v>95.879900000000006</v>
          </cell>
          <cell r="G70">
            <v>119.3681</v>
          </cell>
          <cell r="H70">
            <v>109.18519999999999</v>
          </cell>
          <cell r="I70">
            <v>108.13200000000001</v>
          </cell>
          <cell r="J70">
            <v>102.6674</v>
          </cell>
          <cell r="K70">
            <v>86.491900000000001</v>
          </cell>
          <cell r="L70">
            <v>75.775700000000001</v>
          </cell>
        </row>
        <row r="71">
          <cell r="A71">
            <v>38473</v>
          </cell>
          <cell r="B71">
            <v>101.8322</v>
          </cell>
          <cell r="C71">
            <v>85.843000000000004</v>
          </cell>
          <cell r="D71">
            <v>95.351100000000002</v>
          </cell>
          <cell r="E71">
            <v>100.6442</v>
          </cell>
          <cell r="F71">
            <v>93.654399999999995</v>
          </cell>
          <cell r="G71">
            <v>119.8892</v>
          </cell>
          <cell r="H71">
            <v>108.496</v>
          </cell>
          <cell r="I71">
            <v>105.9228</v>
          </cell>
          <cell r="J71">
            <v>103.97150000000001</v>
          </cell>
          <cell r="K71">
            <v>86.370199999999997</v>
          </cell>
          <cell r="L71">
            <v>76.683099999999996</v>
          </cell>
        </row>
        <row r="72">
          <cell r="A72">
            <v>38504</v>
          </cell>
          <cell r="B72">
            <v>102.02719999999999</v>
          </cell>
          <cell r="C72">
            <v>85.546400000000006</v>
          </cell>
          <cell r="D72">
            <v>99.360900000000001</v>
          </cell>
          <cell r="E72">
            <v>98.351699999999994</v>
          </cell>
          <cell r="F72">
            <v>95.665899999999993</v>
          </cell>
          <cell r="G72">
            <v>119.3235</v>
          </cell>
          <cell r="H72">
            <v>108.5847</v>
          </cell>
          <cell r="I72">
            <v>103.1041</v>
          </cell>
          <cell r="J72">
            <v>104.26990000000001</v>
          </cell>
          <cell r="K72">
            <v>87.552800000000005</v>
          </cell>
          <cell r="L72">
            <v>75.842200000000005</v>
          </cell>
        </row>
        <row r="73">
          <cell r="A73">
            <v>38534</v>
          </cell>
          <cell r="B73">
            <v>101.6681</v>
          </cell>
          <cell r="C73">
            <v>85.571399999999997</v>
          </cell>
          <cell r="D73">
            <v>99.5749</v>
          </cell>
          <cell r="E73">
            <v>97.461200000000005</v>
          </cell>
          <cell r="F73">
            <v>93.427199999999999</v>
          </cell>
          <cell r="G73">
            <v>119.76260000000001</v>
          </cell>
          <cell r="H73">
            <v>108.236</v>
          </cell>
          <cell r="I73">
            <v>102.18859999999999</v>
          </cell>
          <cell r="J73">
            <v>102.8421</v>
          </cell>
          <cell r="K73">
            <v>83.758499999999998</v>
          </cell>
          <cell r="L73">
            <v>74.983099999999993</v>
          </cell>
        </row>
        <row r="74">
          <cell r="A74">
            <v>38565</v>
          </cell>
          <cell r="B74">
            <v>102.21259999999999</v>
          </cell>
          <cell r="C74">
            <v>84.629199999999997</v>
          </cell>
          <cell r="D74">
            <v>99.440600000000003</v>
          </cell>
          <cell r="E74">
            <v>95.964699999999993</v>
          </cell>
          <cell r="F74">
            <v>92.451999999999998</v>
          </cell>
          <cell r="G74">
            <v>117.6605</v>
          </cell>
          <cell r="H74">
            <v>109.71420000000001</v>
          </cell>
          <cell r="I74">
            <v>106.14700000000001</v>
          </cell>
          <cell r="J74">
            <v>101.90519999999999</v>
          </cell>
          <cell r="K74">
            <v>88.466700000000003</v>
          </cell>
          <cell r="L74">
            <v>76.329899999999995</v>
          </cell>
        </row>
        <row r="75">
          <cell r="A75">
            <v>38596</v>
          </cell>
          <cell r="B75">
            <v>101.083</v>
          </cell>
          <cell r="C75">
            <v>75.285899999999998</v>
          </cell>
          <cell r="D75">
            <v>101.41249999999999</v>
          </cell>
          <cell r="E75">
            <v>92.804400000000001</v>
          </cell>
          <cell r="F75">
            <v>87.185100000000006</v>
          </cell>
          <cell r="G75">
            <v>110.4729</v>
          </cell>
          <cell r="H75">
            <v>111.58620000000001</v>
          </cell>
          <cell r="I75">
            <v>108.05840000000001</v>
          </cell>
          <cell r="J75">
            <v>103.32259999999999</v>
          </cell>
          <cell r="K75">
            <v>90.817599999999999</v>
          </cell>
          <cell r="L75">
            <v>65.217600000000004</v>
          </cell>
        </row>
        <row r="76">
          <cell r="A76">
            <v>38626</v>
          </cell>
          <cell r="B76">
            <v>102.5411</v>
          </cell>
          <cell r="C76">
            <v>77.687600000000003</v>
          </cell>
          <cell r="D76">
            <v>99.9148</v>
          </cell>
          <cell r="E76">
            <v>88.155799999999999</v>
          </cell>
          <cell r="F76">
            <v>85.841099999999997</v>
          </cell>
          <cell r="G76">
            <v>111.4863</v>
          </cell>
          <cell r="H76">
            <v>111.6456</v>
          </cell>
          <cell r="I76">
            <v>108.3295</v>
          </cell>
          <cell r="J76">
            <v>106.5277</v>
          </cell>
          <cell r="K76">
            <v>91.626800000000003</v>
          </cell>
          <cell r="L76">
            <v>74.677499999999995</v>
          </cell>
        </row>
        <row r="77">
          <cell r="A77">
            <v>38657</v>
          </cell>
          <cell r="B77">
            <v>103.43980000000001</v>
          </cell>
          <cell r="C77">
            <v>81.122299999999996</v>
          </cell>
          <cell r="D77">
            <v>98.654300000000006</v>
          </cell>
          <cell r="E77">
            <v>89.612499999999997</v>
          </cell>
          <cell r="F77">
            <v>91.670599999999993</v>
          </cell>
          <cell r="G77">
            <v>115.1645</v>
          </cell>
          <cell r="H77">
            <v>112.54179999999999</v>
          </cell>
          <cell r="I77">
            <v>111.0949</v>
          </cell>
          <cell r="J77">
            <v>106.4318</v>
          </cell>
          <cell r="K77">
            <v>88.967500000000001</v>
          </cell>
          <cell r="L77">
            <v>76.295299999999997</v>
          </cell>
        </row>
        <row r="78">
          <cell r="A78">
            <v>38687</v>
          </cell>
          <cell r="B78">
            <v>103.55110000000001</v>
          </cell>
          <cell r="C78">
            <v>82.366100000000003</v>
          </cell>
          <cell r="D78">
            <v>100.6703</v>
          </cell>
          <cell r="E78">
            <v>98.230900000000005</v>
          </cell>
          <cell r="F78">
            <v>91.816800000000001</v>
          </cell>
          <cell r="G78">
            <v>116.5468</v>
          </cell>
          <cell r="H78">
            <v>113.55419999999999</v>
          </cell>
          <cell r="I78">
            <v>111.051</v>
          </cell>
          <cell r="J78">
            <v>107.3237</v>
          </cell>
          <cell r="K78">
            <v>86.875200000000007</v>
          </cell>
          <cell r="L78">
            <v>75.671199999999999</v>
          </cell>
        </row>
        <row r="79">
          <cell r="A79">
            <v>38718</v>
          </cell>
          <cell r="B79">
            <v>104.3573</v>
          </cell>
          <cell r="C79">
            <v>84.238</v>
          </cell>
          <cell r="D79">
            <v>94.504999999999995</v>
          </cell>
          <cell r="E79">
            <v>78.389200000000002</v>
          </cell>
          <cell r="F79">
            <v>92.717200000000005</v>
          </cell>
          <cell r="G79">
            <v>117.80589999999999</v>
          </cell>
          <cell r="H79">
            <v>113.17100000000001</v>
          </cell>
          <cell r="I79">
            <v>112.50320000000001</v>
          </cell>
          <cell r="J79">
            <v>106.1696</v>
          </cell>
          <cell r="K79">
            <v>89.549499999999995</v>
          </cell>
          <cell r="L79">
            <v>76.378399999999999</v>
          </cell>
        </row>
        <row r="80">
          <cell r="A80">
            <v>38749</v>
          </cell>
          <cell r="B80">
            <v>104.08969999999999</v>
          </cell>
          <cell r="C80">
            <v>83.959100000000007</v>
          </cell>
          <cell r="D80">
            <v>97.168400000000005</v>
          </cell>
          <cell r="E80">
            <v>86.505799999999994</v>
          </cell>
          <cell r="F80">
            <v>93.176100000000005</v>
          </cell>
          <cell r="G80">
            <v>117.5309</v>
          </cell>
          <cell r="H80">
            <v>112.9036</v>
          </cell>
          <cell r="I80">
            <v>112.8895</v>
          </cell>
          <cell r="J80">
            <v>105.41119999999999</v>
          </cell>
          <cell r="K80">
            <v>87.030299999999997</v>
          </cell>
          <cell r="L80">
            <v>77.717200000000005</v>
          </cell>
        </row>
        <row r="81">
          <cell r="A81">
            <v>38777</v>
          </cell>
          <cell r="B81">
            <v>104.05840000000001</v>
          </cell>
          <cell r="C81">
            <v>84.009399999999999</v>
          </cell>
          <cell r="D81">
            <v>99.132499999999993</v>
          </cell>
          <cell r="E81">
            <v>91.817400000000006</v>
          </cell>
          <cell r="F81">
            <v>90.745500000000007</v>
          </cell>
          <cell r="G81">
            <v>117.982</v>
          </cell>
          <cell r="H81">
            <v>113.12609999999999</v>
          </cell>
          <cell r="I81">
            <v>112.5748</v>
          </cell>
          <cell r="J81">
            <v>106.5231</v>
          </cell>
          <cell r="K81">
            <v>88.884299999999996</v>
          </cell>
          <cell r="L81">
            <v>76.539900000000003</v>
          </cell>
        </row>
        <row r="82">
          <cell r="A82">
            <v>38808</v>
          </cell>
          <cell r="B82">
            <v>104.4195</v>
          </cell>
          <cell r="C82">
            <v>84.671300000000002</v>
          </cell>
          <cell r="D82">
            <v>98.810599999999994</v>
          </cell>
          <cell r="E82">
            <v>88.243899999999996</v>
          </cell>
          <cell r="F82">
            <v>90.0321</v>
          </cell>
          <cell r="G82">
            <v>118.63760000000001</v>
          </cell>
          <cell r="H82">
            <v>113.29730000000001</v>
          </cell>
          <cell r="I82">
            <v>112.8015</v>
          </cell>
          <cell r="J82">
            <v>107.5177</v>
          </cell>
          <cell r="K82">
            <v>89.194299999999998</v>
          </cell>
          <cell r="L82">
            <v>77.671499999999995</v>
          </cell>
        </row>
        <row r="83">
          <cell r="A83">
            <v>38838</v>
          </cell>
          <cell r="B83">
            <v>104.1679</v>
          </cell>
          <cell r="C83">
            <v>85.102199999999996</v>
          </cell>
          <cell r="D83">
            <v>100.0445</v>
          </cell>
          <cell r="E83">
            <v>89.421499999999995</v>
          </cell>
          <cell r="F83">
            <v>92.851900000000001</v>
          </cell>
          <cell r="G83">
            <v>118.70699999999999</v>
          </cell>
          <cell r="H83">
            <v>111.9954</v>
          </cell>
          <cell r="I83">
            <v>114.5547</v>
          </cell>
          <cell r="J83">
            <v>106.44799999999999</v>
          </cell>
          <cell r="K83">
            <v>87.938900000000004</v>
          </cell>
          <cell r="L83">
            <v>77.531899999999993</v>
          </cell>
        </row>
        <row r="84">
          <cell r="A84">
            <v>38869</v>
          </cell>
          <cell r="B84">
            <v>104.4804</v>
          </cell>
          <cell r="C84">
            <v>85.5565</v>
          </cell>
          <cell r="D84">
            <v>100.0016</v>
          </cell>
          <cell r="E84">
            <v>93.145499999999998</v>
          </cell>
          <cell r="F84">
            <v>94.921099999999996</v>
          </cell>
          <cell r="G84">
            <v>119.5932</v>
          </cell>
          <cell r="H84">
            <v>111.17529999999999</v>
          </cell>
          <cell r="I84">
            <v>114.4957</v>
          </cell>
          <cell r="J84">
            <v>106.6972</v>
          </cell>
          <cell r="K84">
            <v>88.702100000000002</v>
          </cell>
          <cell r="L84">
            <v>77.716099999999997</v>
          </cell>
        </row>
        <row r="85">
          <cell r="A85">
            <v>38899</v>
          </cell>
          <cell r="B85">
            <v>104.12779999999999</v>
          </cell>
          <cell r="C85">
            <v>86.140900000000002</v>
          </cell>
          <cell r="D85">
            <v>101.5844</v>
          </cell>
          <cell r="E85">
            <v>94.066500000000005</v>
          </cell>
          <cell r="F85">
            <v>94.445300000000003</v>
          </cell>
          <cell r="G85">
            <v>120.1144</v>
          </cell>
          <cell r="H85">
            <v>111.3785</v>
          </cell>
          <cell r="I85">
            <v>111.2243</v>
          </cell>
          <cell r="J85">
            <v>110.417</v>
          </cell>
          <cell r="K85">
            <v>82.207300000000004</v>
          </cell>
          <cell r="L85">
            <v>78.755600000000001</v>
          </cell>
        </row>
        <row r="86">
          <cell r="A86">
            <v>38930</v>
          </cell>
          <cell r="B86">
            <v>104.8715</v>
          </cell>
          <cell r="C86">
            <v>86.243099999999998</v>
          </cell>
          <cell r="D86">
            <v>100.7029</v>
          </cell>
          <cell r="E86">
            <v>93.585300000000004</v>
          </cell>
          <cell r="F86">
            <v>96.008099999999999</v>
          </cell>
          <cell r="G86">
            <v>121.17700000000001</v>
          </cell>
          <cell r="H86">
            <v>110.30329999999999</v>
          </cell>
          <cell r="I86">
            <v>111.6203</v>
          </cell>
          <cell r="J86">
            <v>110.7761</v>
          </cell>
          <cell r="K86">
            <v>86.923900000000003</v>
          </cell>
          <cell r="L86">
            <v>78.612499999999997</v>
          </cell>
        </row>
        <row r="87">
          <cell r="A87">
            <v>38961</v>
          </cell>
          <cell r="B87">
            <v>104.9421</v>
          </cell>
          <cell r="C87">
            <v>86.485600000000005</v>
          </cell>
          <cell r="D87">
            <v>97.066400000000002</v>
          </cell>
          <cell r="E87">
            <v>94.313000000000002</v>
          </cell>
          <cell r="F87">
            <v>98.264899999999997</v>
          </cell>
          <cell r="G87">
            <v>121.5254</v>
          </cell>
          <cell r="H87">
            <v>109.84829999999999</v>
          </cell>
          <cell r="I87">
            <v>111.4954</v>
          </cell>
          <cell r="J87">
            <v>111.5973</v>
          </cell>
          <cell r="K87">
            <v>84.430700000000002</v>
          </cell>
          <cell r="L87">
            <v>79.079099999999997</v>
          </cell>
        </row>
        <row r="88">
          <cell r="A88">
            <v>38991</v>
          </cell>
          <cell r="B88">
            <v>104.477</v>
          </cell>
          <cell r="C88">
            <v>86.8245</v>
          </cell>
          <cell r="D88">
            <v>98.2316</v>
          </cell>
          <cell r="E88">
            <v>101.3973</v>
          </cell>
          <cell r="F88">
            <v>96.077299999999994</v>
          </cell>
          <cell r="G88">
            <v>121.05540000000001</v>
          </cell>
          <cell r="H88">
            <v>108.432</v>
          </cell>
          <cell r="I88">
            <v>106.8596</v>
          </cell>
          <cell r="J88">
            <v>108.9769</v>
          </cell>
          <cell r="K88">
            <v>83.014399999999995</v>
          </cell>
          <cell r="L88">
            <v>80.09</v>
          </cell>
        </row>
        <row r="89">
          <cell r="A89">
            <v>39022</v>
          </cell>
          <cell r="B89">
            <v>104.6157</v>
          </cell>
          <cell r="C89">
            <v>85.7821</v>
          </cell>
          <cell r="D89">
            <v>99.857100000000003</v>
          </cell>
          <cell r="E89">
            <v>93.977999999999994</v>
          </cell>
          <cell r="F89">
            <v>95.183800000000005</v>
          </cell>
          <cell r="G89">
            <v>120.60120000000001</v>
          </cell>
          <cell r="H89">
            <v>106.6619</v>
          </cell>
          <cell r="I89">
            <v>107.33069999999999</v>
          </cell>
          <cell r="J89">
            <v>109.3222</v>
          </cell>
          <cell r="K89">
            <v>84.626499999999993</v>
          </cell>
          <cell r="L89">
            <v>80.962500000000006</v>
          </cell>
        </row>
        <row r="90">
          <cell r="A90">
            <v>39052</v>
          </cell>
          <cell r="B90">
            <v>106.1347</v>
          </cell>
          <cell r="C90">
            <v>87.045900000000003</v>
          </cell>
          <cell r="D90">
            <v>97.727800000000002</v>
          </cell>
          <cell r="E90">
            <v>84.117900000000006</v>
          </cell>
          <cell r="F90">
            <v>96.283799999999999</v>
          </cell>
          <cell r="G90">
            <v>123.9618</v>
          </cell>
          <cell r="H90">
            <v>108.2764</v>
          </cell>
          <cell r="I90">
            <v>106.5941</v>
          </cell>
          <cell r="J90">
            <v>112.6189</v>
          </cell>
          <cell r="K90">
            <v>87.462900000000005</v>
          </cell>
          <cell r="L90">
            <v>81.769199999999998</v>
          </cell>
        </row>
        <row r="91">
          <cell r="A91">
            <v>39083</v>
          </cell>
          <cell r="B91">
            <v>105.7684</v>
          </cell>
          <cell r="C91">
            <v>86.164900000000003</v>
          </cell>
          <cell r="D91">
            <v>99.227199999999996</v>
          </cell>
          <cell r="E91">
            <v>89.974100000000007</v>
          </cell>
          <cell r="F91">
            <v>97.927499999999995</v>
          </cell>
          <cell r="G91">
            <v>123.5312</v>
          </cell>
          <cell r="H91">
            <v>109.1066</v>
          </cell>
          <cell r="I91">
            <v>110.8297</v>
          </cell>
          <cell r="J91">
            <v>109.896</v>
          </cell>
          <cell r="K91">
            <v>83.094700000000003</v>
          </cell>
          <cell r="L91">
            <v>83.3977</v>
          </cell>
        </row>
        <row r="92">
          <cell r="A92">
            <v>39114</v>
          </cell>
          <cell r="B92">
            <v>106.13849999999999</v>
          </cell>
          <cell r="C92">
            <v>86.746200000000002</v>
          </cell>
          <cell r="D92">
            <v>103.563</v>
          </cell>
          <cell r="E92">
            <v>107.6742</v>
          </cell>
          <cell r="F92">
            <v>96.443600000000004</v>
          </cell>
          <cell r="G92">
            <v>124.2585</v>
          </cell>
          <cell r="H92">
            <v>107.0856</v>
          </cell>
          <cell r="I92">
            <v>111.1339</v>
          </cell>
          <cell r="J92">
            <v>109.9867</v>
          </cell>
          <cell r="K92">
            <v>86.294799999999995</v>
          </cell>
          <cell r="L92">
            <v>84.370500000000007</v>
          </cell>
        </row>
        <row r="93">
          <cell r="A93">
            <v>39142</v>
          </cell>
          <cell r="B93">
            <v>106.9975</v>
          </cell>
          <cell r="C93">
            <v>86.920599999999993</v>
          </cell>
          <cell r="D93">
            <v>100.05459999999999</v>
          </cell>
          <cell r="E93">
            <v>93.887799999999999</v>
          </cell>
          <cell r="F93">
            <v>97.906099999999995</v>
          </cell>
          <cell r="G93">
            <v>125.4675</v>
          </cell>
          <cell r="H93">
            <v>107.6908</v>
          </cell>
          <cell r="I93">
            <v>112.5317</v>
          </cell>
          <cell r="J93">
            <v>112.1818</v>
          </cell>
          <cell r="K93">
            <v>87.059799999999996</v>
          </cell>
          <cell r="L93">
            <v>84.724599999999995</v>
          </cell>
        </row>
        <row r="94">
          <cell r="A94">
            <v>39173</v>
          </cell>
          <cell r="B94">
            <v>107.67449999999999</v>
          </cell>
          <cell r="C94">
            <v>87.281400000000005</v>
          </cell>
          <cell r="D94">
            <v>100.83459999999999</v>
          </cell>
          <cell r="E94">
            <v>101.11360000000001</v>
          </cell>
          <cell r="F94">
            <v>96.212000000000003</v>
          </cell>
          <cell r="G94">
            <v>125.9111</v>
          </cell>
          <cell r="H94">
            <v>108.29989999999999</v>
          </cell>
          <cell r="I94">
            <v>113.46980000000001</v>
          </cell>
          <cell r="J94">
            <v>112.3138</v>
          </cell>
          <cell r="K94">
            <v>89.522300000000001</v>
          </cell>
          <cell r="L94">
            <v>86.403899999999993</v>
          </cell>
        </row>
        <row r="95">
          <cell r="A95">
            <v>39203</v>
          </cell>
          <cell r="B95">
            <v>107.5804</v>
          </cell>
          <cell r="C95">
            <v>87.856899999999996</v>
          </cell>
          <cell r="D95">
            <v>101.6455</v>
          </cell>
          <cell r="E95">
            <v>97.131799999999998</v>
          </cell>
          <cell r="F95">
            <v>97.658199999999994</v>
          </cell>
          <cell r="G95">
            <v>125.71810000000001</v>
          </cell>
          <cell r="H95">
            <v>108.17740000000001</v>
          </cell>
          <cell r="I95">
            <v>112.8561</v>
          </cell>
          <cell r="J95">
            <v>112.86620000000001</v>
          </cell>
          <cell r="K95">
            <v>88.758499999999998</v>
          </cell>
          <cell r="L95">
            <v>88.601299999999995</v>
          </cell>
        </row>
        <row r="96">
          <cell r="A96">
            <v>39234</v>
          </cell>
          <cell r="B96">
            <v>107.92789999999999</v>
          </cell>
          <cell r="C96">
            <v>87.511600000000001</v>
          </cell>
          <cell r="D96">
            <v>99.664500000000004</v>
          </cell>
          <cell r="E96">
            <v>96.159899999999993</v>
          </cell>
          <cell r="F96">
            <v>97.0458</v>
          </cell>
          <cell r="G96">
            <v>126.0521</v>
          </cell>
          <cell r="H96">
            <v>108.6499</v>
          </cell>
          <cell r="I96">
            <v>111.9802</v>
          </cell>
          <cell r="J96">
            <v>113.0706</v>
          </cell>
          <cell r="K96">
            <v>90.022599999999997</v>
          </cell>
          <cell r="L96">
            <v>91.633399999999995</v>
          </cell>
        </row>
        <row r="97">
          <cell r="A97">
            <v>39264</v>
          </cell>
          <cell r="B97">
            <v>107.8657</v>
          </cell>
          <cell r="C97">
            <v>87.551900000000003</v>
          </cell>
          <cell r="D97">
            <v>98.362099999999998</v>
          </cell>
          <cell r="E97">
            <v>96.504300000000001</v>
          </cell>
          <cell r="F97">
            <v>96.967399999999998</v>
          </cell>
          <cell r="G97">
            <v>126.67319999999999</v>
          </cell>
          <cell r="H97">
            <v>108.1095</v>
          </cell>
          <cell r="I97">
            <v>114.1307</v>
          </cell>
          <cell r="J97">
            <v>113.59</v>
          </cell>
          <cell r="K97">
            <v>87.415099999999995</v>
          </cell>
          <cell r="L97">
            <v>93.165800000000004</v>
          </cell>
        </row>
        <row r="98">
          <cell r="A98">
            <v>39295</v>
          </cell>
          <cell r="B98">
            <v>107.5436</v>
          </cell>
          <cell r="C98">
            <v>87.431200000000004</v>
          </cell>
          <cell r="D98">
            <v>102.77809999999999</v>
          </cell>
          <cell r="E98">
            <v>102.80159999999999</v>
          </cell>
          <cell r="F98">
            <v>97.249399999999994</v>
          </cell>
          <cell r="G98">
            <v>126.23560000000001</v>
          </cell>
          <cell r="H98">
            <v>107.30929999999999</v>
          </cell>
          <cell r="I98">
            <v>113.2298</v>
          </cell>
          <cell r="J98">
            <v>112.5757</v>
          </cell>
          <cell r="K98">
            <v>87.667000000000002</v>
          </cell>
          <cell r="L98">
            <v>95.367400000000004</v>
          </cell>
        </row>
        <row r="99">
          <cell r="A99">
            <v>39326</v>
          </cell>
          <cell r="B99">
            <v>107.85809999999999</v>
          </cell>
          <cell r="C99">
            <v>87.756799999999998</v>
          </cell>
          <cell r="D99">
            <v>103.3545</v>
          </cell>
          <cell r="E99">
            <v>99.333500000000001</v>
          </cell>
          <cell r="F99">
            <v>96.673299999999998</v>
          </cell>
          <cell r="G99">
            <v>126.8536</v>
          </cell>
          <cell r="H99">
            <v>108.4689</v>
          </cell>
          <cell r="I99">
            <v>111.22799999999999</v>
          </cell>
          <cell r="J99">
            <v>115.7801</v>
          </cell>
          <cell r="K99">
            <v>83.528899999999993</v>
          </cell>
          <cell r="L99">
            <v>98.278999999999996</v>
          </cell>
        </row>
        <row r="100">
          <cell r="A100">
            <v>39356</v>
          </cell>
          <cell r="B100">
            <v>107.6656</v>
          </cell>
          <cell r="C100">
            <v>87.38</v>
          </cell>
          <cell r="D100">
            <v>103.2597</v>
          </cell>
          <cell r="E100">
            <v>90.106099999999998</v>
          </cell>
          <cell r="F100">
            <v>96.930199999999999</v>
          </cell>
          <cell r="G100">
            <v>126.1341</v>
          </cell>
          <cell r="H100">
            <v>107.57680000000001</v>
          </cell>
          <cell r="I100">
            <v>114.6397</v>
          </cell>
          <cell r="J100">
            <v>115.0326</v>
          </cell>
          <cell r="K100">
            <v>82.493700000000004</v>
          </cell>
          <cell r="L100">
            <v>99.2316</v>
          </cell>
        </row>
        <row r="101">
          <cell r="A101">
            <v>39387</v>
          </cell>
          <cell r="B101">
            <v>108.2276</v>
          </cell>
          <cell r="C101">
            <v>88.699399999999997</v>
          </cell>
          <cell r="D101">
            <v>102.3331</v>
          </cell>
          <cell r="E101">
            <v>96.9756</v>
          </cell>
          <cell r="F101">
            <v>95.664500000000004</v>
          </cell>
          <cell r="G101">
            <v>126.5826</v>
          </cell>
          <cell r="H101">
            <v>107.2153</v>
          </cell>
          <cell r="I101">
            <v>117.3931</v>
          </cell>
          <cell r="J101">
            <v>115.3399</v>
          </cell>
          <cell r="K101">
            <v>83.039900000000003</v>
          </cell>
          <cell r="L101">
            <v>100.9695</v>
          </cell>
        </row>
        <row r="102">
          <cell r="A102">
            <v>39417</v>
          </cell>
          <cell r="B102">
            <v>108.39830000000001</v>
          </cell>
          <cell r="C102">
            <v>89.082499999999996</v>
          </cell>
          <cell r="D102">
            <v>100.0119</v>
          </cell>
          <cell r="E102">
            <v>97.533799999999999</v>
          </cell>
          <cell r="F102">
            <v>95.802499999999995</v>
          </cell>
          <cell r="G102">
            <v>126.492</v>
          </cell>
          <cell r="H102">
            <v>106.10120000000001</v>
          </cell>
          <cell r="I102">
            <v>119.087</v>
          </cell>
          <cell r="J102">
            <v>115.2283</v>
          </cell>
          <cell r="K102">
            <v>83.007199999999997</v>
          </cell>
          <cell r="L102">
            <v>101.0295</v>
          </cell>
        </row>
        <row r="103">
          <cell r="A103">
            <v>39448</v>
          </cell>
          <cell r="B103">
            <v>108.18640000000001</v>
          </cell>
          <cell r="C103">
            <v>88.595600000000005</v>
          </cell>
          <cell r="D103">
            <v>101.2107</v>
          </cell>
          <cell r="E103">
            <v>99.046499999999995</v>
          </cell>
          <cell r="F103">
            <v>96.2697</v>
          </cell>
          <cell r="G103">
            <v>125.6606</v>
          </cell>
          <cell r="H103">
            <v>104.2109</v>
          </cell>
          <cell r="I103">
            <v>121.1473</v>
          </cell>
          <cell r="J103">
            <v>115.4534</v>
          </cell>
          <cell r="K103">
            <v>80.134600000000006</v>
          </cell>
          <cell r="L103">
            <v>101.3652</v>
          </cell>
        </row>
        <row r="104">
          <cell r="A104">
            <v>39479</v>
          </cell>
          <cell r="B104">
            <v>107.4631</v>
          </cell>
          <cell r="C104">
            <v>88.356200000000001</v>
          </cell>
          <cell r="D104">
            <v>102.1486</v>
          </cell>
          <cell r="E104">
            <v>103.79519999999999</v>
          </cell>
          <cell r="F104">
            <v>95.402100000000004</v>
          </cell>
          <cell r="G104">
            <v>123.7402</v>
          </cell>
          <cell r="H104">
            <v>103.3716</v>
          </cell>
          <cell r="I104">
            <v>120.2283</v>
          </cell>
          <cell r="J104">
            <v>113.681</v>
          </cell>
          <cell r="K104">
            <v>80.387500000000003</v>
          </cell>
          <cell r="L104">
            <v>100.6708</v>
          </cell>
        </row>
        <row r="105">
          <cell r="A105">
            <v>39508</v>
          </cell>
          <cell r="B105">
            <v>106.99460000000001</v>
          </cell>
          <cell r="C105">
            <v>88.832400000000007</v>
          </cell>
          <cell r="D105">
            <v>101.40479999999999</v>
          </cell>
          <cell r="E105">
            <v>102.5295</v>
          </cell>
          <cell r="F105">
            <v>93.139099999999999</v>
          </cell>
          <cell r="G105">
            <v>122.3104</v>
          </cell>
          <cell r="H105">
            <v>101.9145</v>
          </cell>
          <cell r="I105">
            <v>118.913</v>
          </cell>
          <cell r="J105">
            <v>115.47450000000001</v>
          </cell>
          <cell r="K105">
            <v>75.020399999999995</v>
          </cell>
          <cell r="L105">
            <v>101.9761</v>
          </cell>
        </row>
        <row r="106">
          <cell r="A106">
            <v>39539</v>
          </cell>
          <cell r="B106">
            <v>105.89879999999999</v>
          </cell>
          <cell r="C106">
            <v>88.684899999999999</v>
          </cell>
          <cell r="D106">
            <v>101.6845</v>
          </cell>
          <cell r="E106">
            <v>100.79770000000001</v>
          </cell>
          <cell r="F106">
            <v>93.766599999999997</v>
          </cell>
          <cell r="G106">
            <v>121.02119999999999</v>
          </cell>
          <cell r="H106">
            <v>100.702</v>
          </cell>
          <cell r="I106">
            <v>121.31319999999999</v>
          </cell>
          <cell r="J106">
            <v>112.0722</v>
          </cell>
          <cell r="K106">
            <v>71.441100000000006</v>
          </cell>
          <cell r="L106">
            <v>101.61450000000001</v>
          </cell>
        </row>
        <row r="107">
          <cell r="A107">
            <v>39569</v>
          </cell>
          <cell r="B107">
            <v>105.25360000000001</v>
          </cell>
          <cell r="C107">
            <v>88.405799999999999</v>
          </cell>
          <cell r="D107">
            <v>100.1109</v>
          </cell>
          <cell r="E107">
            <v>102.1345</v>
          </cell>
          <cell r="F107">
            <v>94.105699999999999</v>
          </cell>
          <cell r="G107">
            <v>119.8951</v>
          </cell>
          <cell r="H107">
            <v>99.861900000000006</v>
          </cell>
          <cell r="I107">
            <v>119.0391</v>
          </cell>
          <cell r="J107">
            <v>111.69580000000001</v>
          </cell>
          <cell r="K107">
            <v>70.584800000000001</v>
          </cell>
          <cell r="L107">
            <v>102.1133</v>
          </cell>
        </row>
        <row r="108">
          <cell r="A108">
            <v>39600</v>
          </cell>
          <cell r="B108">
            <v>104.4926</v>
          </cell>
          <cell r="C108">
            <v>88.278599999999997</v>
          </cell>
          <cell r="D108">
            <v>102.0943</v>
          </cell>
          <cell r="E108">
            <v>99.949200000000005</v>
          </cell>
          <cell r="F108">
            <v>93.2059</v>
          </cell>
          <cell r="G108">
            <v>118.48399999999999</v>
          </cell>
          <cell r="H108">
            <v>100.1764</v>
          </cell>
          <cell r="I108">
            <v>119.7923</v>
          </cell>
          <cell r="J108">
            <v>111.2895</v>
          </cell>
          <cell r="K108">
            <v>72.716099999999997</v>
          </cell>
          <cell r="L108">
            <v>100.9418</v>
          </cell>
        </row>
        <row r="109">
          <cell r="A109">
            <v>39630</v>
          </cell>
          <cell r="B109">
            <v>103.3676</v>
          </cell>
          <cell r="C109">
            <v>89.911500000000004</v>
          </cell>
          <cell r="D109">
            <v>100.7373</v>
          </cell>
          <cell r="E109">
            <v>98.453599999999994</v>
          </cell>
          <cell r="F109">
            <v>92.651899999999998</v>
          </cell>
          <cell r="G109">
            <v>117.4285</v>
          </cell>
          <cell r="H109">
            <v>99.337699999999998</v>
          </cell>
          <cell r="I109">
            <v>121.0117</v>
          </cell>
          <cell r="J109">
            <v>110.161</v>
          </cell>
          <cell r="K109">
            <v>70.426500000000004</v>
          </cell>
          <cell r="L109">
            <v>97.426000000000002</v>
          </cell>
        </row>
        <row r="110">
          <cell r="A110">
            <v>39661</v>
          </cell>
          <cell r="B110">
            <v>102.03440000000001</v>
          </cell>
          <cell r="C110">
            <v>88.515000000000001</v>
          </cell>
          <cell r="D110">
            <v>96.911199999999994</v>
          </cell>
          <cell r="E110">
            <v>96.036199999999994</v>
          </cell>
          <cell r="F110">
            <v>92.386799999999994</v>
          </cell>
          <cell r="G110">
            <v>115.27500000000001</v>
          </cell>
          <cell r="H110">
            <v>97.438000000000002</v>
          </cell>
          <cell r="I110">
            <v>120.3631</v>
          </cell>
          <cell r="J110">
            <v>111.8081</v>
          </cell>
          <cell r="K110">
            <v>63.8431</v>
          </cell>
          <cell r="L110">
            <v>94.432500000000005</v>
          </cell>
        </row>
        <row r="111">
          <cell r="A111">
            <v>39692</v>
          </cell>
          <cell r="B111">
            <v>98.543800000000005</v>
          </cell>
          <cell r="C111">
            <v>78.153899999999993</v>
          </cell>
          <cell r="D111">
            <v>99.275400000000005</v>
          </cell>
          <cell r="E111">
            <v>94.837800000000001</v>
          </cell>
          <cell r="F111">
            <v>82.523499999999999</v>
          </cell>
          <cell r="G111">
            <v>107.51649999999999</v>
          </cell>
          <cell r="H111">
            <v>95.7761</v>
          </cell>
          <cell r="I111">
            <v>114.9699</v>
          </cell>
          <cell r="J111">
            <v>108.9909</v>
          </cell>
          <cell r="K111">
            <v>64.213499999999996</v>
          </cell>
          <cell r="L111">
            <v>79.534999999999997</v>
          </cell>
        </row>
        <row r="112">
          <cell r="A112">
            <v>39722</v>
          </cell>
          <cell r="B112">
            <v>97.906499999999994</v>
          </cell>
          <cell r="C112">
            <v>85.045100000000005</v>
          </cell>
          <cell r="D112">
            <v>99.582599999999999</v>
          </cell>
          <cell r="E112">
            <v>98.253500000000003</v>
          </cell>
          <cell r="F112">
            <v>94.235299999999995</v>
          </cell>
          <cell r="G112">
            <v>112.3005</v>
          </cell>
          <cell r="H112">
            <v>93.042299999999997</v>
          </cell>
          <cell r="I112">
            <v>107.27589999999999</v>
          </cell>
          <cell r="J112">
            <v>107.53270000000001</v>
          </cell>
          <cell r="K112">
            <v>61.783700000000003</v>
          </cell>
          <cell r="L112">
            <v>76.857699999999994</v>
          </cell>
        </row>
        <row r="113">
          <cell r="A113">
            <v>39753</v>
          </cell>
          <cell r="B113">
            <v>95.486699999999999</v>
          </cell>
          <cell r="C113">
            <v>85.712500000000006</v>
          </cell>
          <cell r="D113">
            <v>101.1161</v>
          </cell>
          <cell r="E113">
            <v>98.371499999999997</v>
          </cell>
          <cell r="F113">
            <v>91.959100000000007</v>
          </cell>
          <cell r="G113">
            <v>108.9693</v>
          </cell>
          <cell r="H113">
            <v>90.426599999999993</v>
          </cell>
          <cell r="I113">
            <v>95.058800000000005</v>
          </cell>
          <cell r="J113">
            <v>104.38939999999999</v>
          </cell>
          <cell r="K113">
            <v>59.447099999999999</v>
          </cell>
          <cell r="L113">
            <v>82.347499999999997</v>
          </cell>
        </row>
        <row r="114">
          <cell r="A114">
            <v>39783</v>
          </cell>
          <cell r="B114">
            <v>92.271699999999996</v>
          </cell>
          <cell r="C114">
            <v>83.251199999999997</v>
          </cell>
          <cell r="D114">
            <v>100.5521</v>
          </cell>
          <cell r="E114">
            <v>98.854500000000002</v>
          </cell>
          <cell r="F114">
            <v>91.419399999999996</v>
          </cell>
          <cell r="G114">
            <v>103.7426</v>
          </cell>
          <cell r="H114">
            <v>85.939899999999994</v>
          </cell>
          <cell r="I114">
            <v>85.849299999999999</v>
          </cell>
          <cell r="J114">
            <v>99.231300000000005</v>
          </cell>
          <cell r="K114">
            <v>55.743400000000001</v>
          </cell>
          <cell r="L114">
            <v>89.230999999999995</v>
          </cell>
        </row>
        <row r="115">
          <cell r="A115">
            <v>39814</v>
          </cell>
          <cell r="B115">
            <v>89.301400000000001</v>
          </cell>
          <cell r="C115">
            <v>82.514200000000002</v>
          </cell>
          <cell r="D115">
            <v>100.2512</v>
          </cell>
          <cell r="E115">
            <v>100.0093</v>
          </cell>
          <cell r="F115">
            <v>89.830600000000004</v>
          </cell>
          <cell r="G115">
            <v>103.8685</v>
          </cell>
          <cell r="H115">
            <v>84.338200000000001</v>
          </cell>
          <cell r="I115">
            <v>83.456199999999995</v>
          </cell>
          <cell r="J115">
            <v>95.323499999999996</v>
          </cell>
          <cell r="K115">
            <v>39.060499999999998</v>
          </cell>
          <cell r="L115">
            <v>87.285899999999998</v>
          </cell>
        </row>
        <row r="116">
          <cell r="A116">
            <v>39845</v>
          </cell>
          <cell r="B116">
            <v>89.200900000000004</v>
          </cell>
          <cell r="C116">
            <v>82.198800000000006</v>
          </cell>
          <cell r="D116">
            <v>97.728399999999993</v>
          </cell>
          <cell r="E116">
            <v>94.874200000000002</v>
          </cell>
          <cell r="F116">
            <v>91.984800000000007</v>
          </cell>
          <cell r="G116">
            <v>103.9435</v>
          </cell>
          <cell r="H116">
            <v>82.253399999999999</v>
          </cell>
          <cell r="I116">
            <v>81.241500000000002</v>
          </cell>
          <cell r="J116">
            <v>93.462199999999996</v>
          </cell>
          <cell r="K116">
            <v>44.438600000000001</v>
          </cell>
          <cell r="L116">
            <v>87.539500000000004</v>
          </cell>
        </row>
        <row r="117">
          <cell r="A117">
            <v>39873</v>
          </cell>
          <cell r="B117">
            <v>87.583699999999993</v>
          </cell>
          <cell r="C117">
            <v>80.252499999999998</v>
          </cell>
          <cell r="D117">
            <v>98.943799999999996</v>
          </cell>
          <cell r="E117">
            <v>96.593599999999995</v>
          </cell>
          <cell r="F117">
            <v>91.284800000000004</v>
          </cell>
          <cell r="G117">
            <v>103.4071</v>
          </cell>
          <cell r="H117">
            <v>79.687799999999996</v>
          </cell>
          <cell r="I117">
            <v>76.761799999999994</v>
          </cell>
          <cell r="J117">
            <v>88.495999999999995</v>
          </cell>
          <cell r="K117">
            <v>45.268000000000001</v>
          </cell>
          <cell r="L117">
            <v>87.556399999999996</v>
          </cell>
        </row>
        <row r="118">
          <cell r="A118">
            <v>39904</v>
          </cell>
          <cell r="B118">
            <v>86.9803</v>
          </cell>
          <cell r="C118">
            <v>79.917299999999997</v>
          </cell>
          <cell r="D118">
            <v>98.091099999999997</v>
          </cell>
          <cell r="E118">
            <v>98.965500000000006</v>
          </cell>
          <cell r="F118">
            <v>92.217399999999998</v>
          </cell>
          <cell r="G118">
            <v>104.08</v>
          </cell>
          <cell r="H118">
            <v>79.054100000000005</v>
          </cell>
          <cell r="I118">
            <v>77.790499999999994</v>
          </cell>
          <cell r="J118">
            <v>85.657899999999998</v>
          </cell>
          <cell r="K118">
            <v>45.840400000000002</v>
          </cell>
          <cell r="L118">
            <v>85.674499999999995</v>
          </cell>
        </row>
        <row r="119">
          <cell r="A119">
            <v>39934</v>
          </cell>
          <cell r="B119">
            <v>86.091700000000003</v>
          </cell>
          <cell r="C119">
            <v>80.170100000000005</v>
          </cell>
          <cell r="D119">
            <v>97.221999999999994</v>
          </cell>
          <cell r="E119">
            <v>94.383099999999999</v>
          </cell>
          <cell r="F119">
            <v>91.361500000000007</v>
          </cell>
          <cell r="G119">
            <v>103.649</v>
          </cell>
          <cell r="H119">
            <v>78.921700000000001</v>
          </cell>
          <cell r="I119">
            <v>76.143100000000004</v>
          </cell>
          <cell r="J119">
            <v>83.495699999999999</v>
          </cell>
          <cell r="K119">
            <v>40.816800000000001</v>
          </cell>
          <cell r="L119">
            <v>84.648899999999998</v>
          </cell>
        </row>
        <row r="120">
          <cell r="A120">
            <v>39965</v>
          </cell>
          <cell r="B120">
            <v>85.907200000000003</v>
          </cell>
          <cell r="C120">
            <v>80.106700000000004</v>
          </cell>
          <cell r="D120">
            <v>95.844200000000001</v>
          </cell>
          <cell r="E120">
            <v>97.261099999999999</v>
          </cell>
          <cell r="F120">
            <v>92.6066</v>
          </cell>
          <cell r="G120">
            <v>104.3518</v>
          </cell>
          <cell r="H120">
            <v>79.483900000000006</v>
          </cell>
          <cell r="I120">
            <v>77.225700000000003</v>
          </cell>
          <cell r="J120">
            <v>80.960700000000003</v>
          </cell>
          <cell r="K120">
            <v>39.418199999999999</v>
          </cell>
          <cell r="L120">
            <v>84.468500000000006</v>
          </cell>
        </row>
        <row r="121">
          <cell r="A121">
            <v>39995</v>
          </cell>
          <cell r="B121">
            <v>87.277500000000003</v>
          </cell>
          <cell r="C121">
            <v>80.992999999999995</v>
          </cell>
          <cell r="D121">
            <v>94.287899999999993</v>
          </cell>
          <cell r="E121">
            <v>97.662400000000005</v>
          </cell>
          <cell r="F121">
            <v>91.695800000000006</v>
          </cell>
          <cell r="G121">
            <v>104.83880000000001</v>
          </cell>
          <cell r="H121">
            <v>80.156800000000004</v>
          </cell>
          <cell r="I121">
            <v>82.786900000000003</v>
          </cell>
          <cell r="J121">
            <v>81.194299999999998</v>
          </cell>
          <cell r="K121">
            <v>51.983199999999997</v>
          </cell>
          <cell r="L121">
            <v>84.918400000000005</v>
          </cell>
        </row>
        <row r="122">
          <cell r="A122">
            <v>40026</v>
          </cell>
          <cell r="B122">
            <v>88.263999999999996</v>
          </cell>
          <cell r="C122">
            <v>81.964600000000004</v>
          </cell>
          <cell r="D122">
            <v>95.4529</v>
          </cell>
          <cell r="E122">
            <v>97.76</v>
          </cell>
          <cell r="F122">
            <v>91.965800000000002</v>
          </cell>
          <cell r="G122">
            <v>105.9778</v>
          </cell>
          <cell r="H122">
            <v>81.500699999999995</v>
          </cell>
          <cell r="I122">
            <v>87.7042</v>
          </cell>
          <cell r="J122">
            <v>82.792299999999997</v>
          </cell>
          <cell r="K122">
            <v>54.0167</v>
          </cell>
          <cell r="L122">
            <v>84.921700000000001</v>
          </cell>
        </row>
        <row r="123">
          <cell r="A123">
            <v>40057</v>
          </cell>
          <cell r="B123">
            <v>89.159599999999998</v>
          </cell>
          <cell r="C123">
            <v>82.044700000000006</v>
          </cell>
          <cell r="D123">
            <v>96.602900000000005</v>
          </cell>
          <cell r="E123">
            <v>98.378200000000007</v>
          </cell>
          <cell r="F123">
            <v>93.1892</v>
          </cell>
          <cell r="G123">
            <v>105.739</v>
          </cell>
          <cell r="H123">
            <v>82.797700000000006</v>
          </cell>
          <cell r="I123">
            <v>90.496200000000002</v>
          </cell>
          <cell r="J123">
            <v>82.485699999999994</v>
          </cell>
          <cell r="K123">
            <v>60.221899999999998</v>
          </cell>
          <cell r="L123">
            <v>85.763199999999998</v>
          </cell>
        </row>
        <row r="124">
          <cell r="A124">
            <v>40087</v>
          </cell>
          <cell r="B124">
            <v>89.218299999999999</v>
          </cell>
          <cell r="C124">
            <v>82.107100000000003</v>
          </cell>
          <cell r="D124">
            <v>97.847200000000001</v>
          </cell>
          <cell r="E124">
            <v>106.8836</v>
          </cell>
          <cell r="F124">
            <v>91.887200000000007</v>
          </cell>
          <cell r="G124">
            <v>106.1177</v>
          </cell>
          <cell r="H124">
            <v>83.046499999999995</v>
          </cell>
          <cell r="I124">
            <v>90.793400000000005</v>
          </cell>
          <cell r="J124">
            <v>84.338999999999999</v>
          </cell>
          <cell r="K124">
            <v>59.716000000000001</v>
          </cell>
          <cell r="L124">
            <v>84.823499999999996</v>
          </cell>
        </row>
        <row r="125">
          <cell r="A125">
            <v>40118</v>
          </cell>
          <cell r="B125">
            <v>90.109300000000005</v>
          </cell>
          <cell r="C125">
            <v>82.2654</v>
          </cell>
          <cell r="D125">
            <v>97.1751</v>
          </cell>
          <cell r="E125">
            <v>87.888499999999993</v>
          </cell>
          <cell r="F125">
            <v>90.232399999999998</v>
          </cell>
          <cell r="G125">
            <v>107.877</v>
          </cell>
          <cell r="H125">
            <v>84.018299999999996</v>
          </cell>
          <cell r="I125">
            <v>95.018600000000006</v>
          </cell>
          <cell r="J125">
            <v>83.608000000000004</v>
          </cell>
          <cell r="K125">
            <v>61.910800000000002</v>
          </cell>
          <cell r="L125">
            <v>84.841099999999997</v>
          </cell>
        </row>
        <row r="126">
          <cell r="A126">
            <v>40148</v>
          </cell>
          <cell r="B126">
            <v>89.969899999999996</v>
          </cell>
          <cell r="C126">
            <v>81.880300000000005</v>
          </cell>
          <cell r="D126">
            <v>101.26009999999999</v>
          </cell>
          <cell r="E126">
            <v>100.8588</v>
          </cell>
          <cell r="F126">
            <v>88.448700000000002</v>
          </cell>
          <cell r="G126">
            <v>106.7621</v>
          </cell>
          <cell r="H126">
            <v>84.736900000000006</v>
          </cell>
          <cell r="I126">
            <v>96.180899999999994</v>
          </cell>
          <cell r="J126">
            <v>86.645799999999994</v>
          </cell>
          <cell r="K126">
            <v>62.496099999999998</v>
          </cell>
          <cell r="L126">
            <v>85.160399999999996</v>
          </cell>
        </row>
        <row r="127">
          <cell r="A127">
            <v>40179</v>
          </cell>
          <cell r="B127">
            <v>90.870699999999999</v>
          </cell>
          <cell r="C127">
            <v>83.449799999999996</v>
          </cell>
          <cell r="D127">
            <v>101.8515</v>
          </cell>
          <cell r="E127">
            <v>100.7039</v>
          </cell>
          <cell r="F127">
            <v>86.035600000000002</v>
          </cell>
          <cell r="G127">
            <v>108.34350000000001</v>
          </cell>
          <cell r="H127">
            <v>85.717200000000005</v>
          </cell>
          <cell r="I127">
            <v>97.8904</v>
          </cell>
          <cell r="J127">
            <v>88.152199999999993</v>
          </cell>
          <cell r="K127">
            <v>63.590400000000002</v>
          </cell>
          <cell r="L127">
            <v>85.962299999999999</v>
          </cell>
        </row>
        <row r="128">
          <cell r="A128">
            <v>40210</v>
          </cell>
          <cell r="B128">
            <v>90.795000000000002</v>
          </cell>
          <cell r="C128">
            <v>84.675899999999999</v>
          </cell>
          <cell r="D128">
            <v>103.4025</v>
          </cell>
          <cell r="E128">
            <v>101.8961</v>
          </cell>
          <cell r="F128">
            <v>88.639200000000002</v>
          </cell>
          <cell r="G128">
            <v>107.2717</v>
          </cell>
          <cell r="H128">
            <v>86.629499999999993</v>
          </cell>
          <cell r="I128">
            <v>100.7135</v>
          </cell>
          <cell r="J128">
            <v>88.1096</v>
          </cell>
          <cell r="K128">
            <v>61.248100000000001</v>
          </cell>
          <cell r="L128">
            <v>86.131399999999999</v>
          </cell>
        </row>
        <row r="129">
          <cell r="A129">
            <v>40238</v>
          </cell>
          <cell r="B129">
            <v>91.952600000000004</v>
          </cell>
          <cell r="C129">
            <v>85.385499999999993</v>
          </cell>
          <cell r="D129">
            <v>100.2359</v>
          </cell>
          <cell r="E129">
            <v>96.032399999999996</v>
          </cell>
          <cell r="F129">
            <v>90.819699999999997</v>
          </cell>
          <cell r="G129">
            <v>107.98399999999999</v>
          </cell>
          <cell r="H129">
            <v>87.749300000000005</v>
          </cell>
          <cell r="I129">
            <v>104.1386</v>
          </cell>
          <cell r="J129">
            <v>89.3185</v>
          </cell>
          <cell r="K129">
            <v>62.924100000000003</v>
          </cell>
          <cell r="L129">
            <v>87.594399999999993</v>
          </cell>
        </row>
        <row r="130">
          <cell r="A130">
            <v>40269</v>
          </cell>
          <cell r="B130">
            <v>92.695899999999995</v>
          </cell>
          <cell r="C130">
            <v>85.934100000000001</v>
          </cell>
          <cell r="D130">
            <v>97.611699999999999</v>
          </cell>
          <cell r="E130">
            <v>89.677000000000007</v>
          </cell>
          <cell r="F130">
            <v>92.180899999999994</v>
          </cell>
          <cell r="G130">
            <v>108.6352</v>
          </cell>
          <cell r="H130">
            <v>89.918999999999997</v>
          </cell>
          <cell r="I130">
            <v>103.1365</v>
          </cell>
          <cell r="J130">
            <v>92.704700000000003</v>
          </cell>
          <cell r="K130">
            <v>62.703600000000002</v>
          </cell>
          <cell r="L130">
            <v>87.555899999999994</v>
          </cell>
        </row>
        <row r="131">
          <cell r="A131">
            <v>40299</v>
          </cell>
          <cell r="B131">
            <v>93.888499999999993</v>
          </cell>
          <cell r="C131">
            <v>85.933000000000007</v>
          </cell>
          <cell r="D131">
            <v>100.98260000000001</v>
          </cell>
          <cell r="E131">
            <v>98.786600000000007</v>
          </cell>
          <cell r="F131">
            <v>91.227699999999999</v>
          </cell>
          <cell r="G131">
            <v>108.8493</v>
          </cell>
          <cell r="H131">
            <v>90.634799999999998</v>
          </cell>
          <cell r="I131">
            <v>104.6041</v>
          </cell>
          <cell r="J131">
            <v>95.343900000000005</v>
          </cell>
          <cell r="K131">
            <v>67.802999999999997</v>
          </cell>
          <cell r="L131">
            <v>87.269900000000007</v>
          </cell>
        </row>
        <row r="132">
          <cell r="A132">
            <v>40330</v>
          </cell>
          <cell r="B132">
            <v>93.869799999999998</v>
          </cell>
          <cell r="C132">
            <v>86.242999999999995</v>
          </cell>
          <cell r="D132">
            <v>103.0903</v>
          </cell>
          <cell r="E132">
            <v>99.991900000000001</v>
          </cell>
          <cell r="F132">
            <v>90.726399999999998</v>
          </cell>
          <cell r="G132">
            <v>109.01139999999999</v>
          </cell>
          <cell r="H132">
            <v>89.702500000000001</v>
          </cell>
          <cell r="I132">
            <v>106.6284</v>
          </cell>
          <cell r="J132">
            <v>96.496099999999998</v>
          </cell>
          <cell r="K132">
            <v>67.395700000000005</v>
          </cell>
          <cell r="L132">
            <v>87.224500000000006</v>
          </cell>
        </row>
        <row r="133">
          <cell r="A133">
            <v>40360</v>
          </cell>
          <cell r="B133">
            <v>94.358000000000004</v>
          </cell>
          <cell r="C133">
            <v>86.648799999999994</v>
          </cell>
          <cell r="D133">
            <v>102.1999</v>
          </cell>
          <cell r="E133">
            <v>99.149000000000001</v>
          </cell>
          <cell r="F133">
            <v>91.8369</v>
          </cell>
          <cell r="G133">
            <v>108.6921</v>
          </cell>
          <cell r="H133">
            <v>89.830299999999994</v>
          </cell>
          <cell r="I133">
            <v>102.01430000000001</v>
          </cell>
          <cell r="J133">
            <v>96.864400000000003</v>
          </cell>
          <cell r="K133">
            <v>72.016800000000003</v>
          </cell>
          <cell r="L133">
            <v>87.9435</v>
          </cell>
        </row>
        <row r="134">
          <cell r="A134">
            <v>40391</v>
          </cell>
          <cell r="B134">
            <v>94.479799999999997</v>
          </cell>
          <cell r="C134">
            <v>87.505200000000002</v>
          </cell>
          <cell r="D134">
            <v>102.3763</v>
          </cell>
          <cell r="E134">
            <v>100.22629999999999</v>
          </cell>
          <cell r="F134">
            <v>90.779899999999998</v>
          </cell>
          <cell r="G134">
            <v>109.0933</v>
          </cell>
          <cell r="H134">
            <v>90.108900000000006</v>
          </cell>
          <cell r="I134">
            <v>103.23820000000001</v>
          </cell>
          <cell r="J134">
            <v>97.618399999999994</v>
          </cell>
          <cell r="K134">
            <v>68.947599999999994</v>
          </cell>
          <cell r="L134">
            <v>88.391199999999998</v>
          </cell>
        </row>
        <row r="135">
          <cell r="A135">
            <v>40422</v>
          </cell>
          <cell r="B135">
            <v>94.552899999999994</v>
          </cell>
          <cell r="C135">
            <v>88.484700000000004</v>
          </cell>
          <cell r="D135">
            <v>102.40989999999999</v>
          </cell>
          <cell r="E135">
            <v>100.29600000000001</v>
          </cell>
          <cell r="F135">
            <v>90.945999999999998</v>
          </cell>
          <cell r="G135">
            <v>108.9558</v>
          </cell>
          <cell r="H135">
            <v>89.355900000000005</v>
          </cell>
          <cell r="I135">
            <v>104.929</v>
          </cell>
          <cell r="J135">
            <v>98.231899999999996</v>
          </cell>
          <cell r="K135">
            <v>69.993200000000002</v>
          </cell>
          <cell r="L135">
            <v>87.241399999999999</v>
          </cell>
        </row>
        <row r="136">
          <cell r="A136">
            <v>40452</v>
          </cell>
          <cell r="B136">
            <v>94.613299999999995</v>
          </cell>
          <cell r="C136">
            <v>88.113299999999995</v>
          </cell>
          <cell r="D136">
            <v>99.153499999999994</v>
          </cell>
          <cell r="E136">
            <v>96.036199999999994</v>
          </cell>
          <cell r="F136">
            <v>90.549499999999995</v>
          </cell>
          <cell r="G136">
            <v>107.6966</v>
          </cell>
          <cell r="H136">
            <v>89.277500000000003</v>
          </cell>
          <cell r="I136">
            <v>104.07559999999999</v>
          </cell>
          <cell r="J136">
            <v>100.10599999999999</v>
          </cell>
          <cell r="K136">
            <v>70.747299999999996</v>
          </cell>
          <cell r="L136">
            <v>85.765000000000001</v>
          </cell>
        </row>
        <row r="137">
          <cell r="A137">
            <v>40483</v>
          </cell>
          <cell r="B137">
            <v>94.736500000000007</v>
          </cell>
          <cell r="C137">
            <v>87.586100000000002</v>
          </cell>
          <cell r="D137">
            <v>99.997200000000007</v>
          </cell>
          <cell r="E137">
            <v>99.982500000000002</v>
          </cell>
          <cell r="F137">
            <v>91.321299999999994</v>
          </cell>
          <cell r="G137">
            <v>108.6485</v>
          </cell>
          <cell r="H137">
            <v>89.400099999999995</v>
          </cell>
          <cell r="I137">
            <v>105.8997</v>
          </cell>
          <cell r="J137">
            <v>101.5792</v>
          </cell>
          <cell r="K137">
            <v>68.071399999999997</v>
          </cell>
          <cell r="L137">
            <v>85.403300000000002</v>
          </cell>
        </row>
        <row r="138">
          <cell r="A138">
            <v>40513</v>
          </cell>
          <cell r="B138">
            <v>95.2</v>
          </cell>
          <cell r="C138">
            <v>88.3202</v>
          </cell>
          <cell r="D138">
            <v>104.5104</v>
          </cell>
          <cell r="E138">
            <v>111.312</v>
          </cell>
          <cell r="F138">
            <v>91.671400000000006</v>
          </cell>
          <cell r="G138">
            <v>109.3318</v>
          </cell>
          <cell r="H138">
            <v>89.713800000000006</v>
          </cell>
          <cell r="I138">
            <v>108.7505</v>
          </cell>
          <cell r="J138">
            <v>104.0605</v>
          </cell>
          <cell r="K138">
            <v>67.741299999999995</v>
          </cell>
          <cell r="L138">
            <v>84.541200000000003</v>
          </cell>
        </row>
        <row r="139">
          <cell r="A139">
            <v>40544</v>
          </cell>
          <cell r="B139">
            <v>95.258300000000006</v>
          </cell>
          <cell r="C139">
            <v>88.199799999999996</v>
          </cell>
          <cell r="D139">
            <v>102.8848</v>
          </cell>
          <cell r="E139">
            <v>104.84480000000001</v>
          </cell>
          <cell r="F139">
            <v>90.588499999999996</v>
          </cell>
          <cell r="G139">
            <v>109.0646</v>
          </cell>
          <cell r="H139">
            <v>89.763199999999998</v>
          </cell>
          <cell r="I139">
            <v>109.9577</v>
          </cell>
          <cell r="J139">
            <v>105.7017</v>
          </cell>
          <cell r="K139">
            <v>69.254900000000006</v>
          </cell>
          <cell r="L139">
            <v>83.904300000000006</v>
          </cell>
        </row>
        <row r="140">
          <cell r="A140">
            <v>40575</v>
          </cell>
          <cell r="B140">
            <v>95.385900000000007</v>
          </cell>
          <cell r="C140">
            <v>86.657300000000006</v>
          </cell>
          <cell r="D140">
            <v>101.449</v>
          </cell>
          <cell r="E140">
            <v>100.126</v>
          </cell>
          <cell r="F140">
            <v>89.639899999999997</v>
          </cell>
          <cell r="G140">
            <v>108.6564</v>
          </cell>
          <cell r="H140">
            <v>89.428100000000001</v>
          </cell>
          <cell r="I140">
            <v>109.72490000000001</v>
          </cell>
          <cell r="J140">
            <v>105.58450000000001</v>
          </cell>
          <cell r="K140">
            <v>72.586600000000004</v>
          </cell>
          <cell r="L140">
            <v>83.222499999999997</v>
          </cell>
        </row>
        <row r="141">
          <cell r="A141">
            <v>40603</v>
          </cell>
          <cell r="B141">
            <v>96.005300000000005</v>
          </cell>
          <cell r="C141">
            <v>89.208500000000001</v>
          </cell>
          <cell r="D141">
            <v>101.2259</v>
          </cell>
          <cell r="E141">
            <v>99.3994</v>
          </cell>
          <cell r="F141">
            <v>91.990700000000004</v>
          </cell>
          <cell r="G141">
            <v>109.9256</v>
          </cell>
          <cell r="H141">
            <v>88.999700000000004</v>
          </cell>
          <cell r="I141">
            <v>111.9088</v>
          </cell>
          <cell r="J141">
            <v>105.1837</v>
          </cell>
          <cell r="K141">
            <v>75.2273</v>
          </cell>
          <cell r="L141">
            <v>83.177700000000002</v>
          </cell>
        </row>
        <row r="142">
          <cell r="A142">
            <v>40634</v>
          </cell>
          <cell r="B142">
            <v>95.456999999999994</v>
          </cell>
          <cell r="C142">
            <v>89.222399999999993</v>
          </cell>
          <cell r="D142">
            <v>100.9254</v>
          </cell>
          <cell r="E142">
            <v>98.092399999999998</v>
          </cell>
          <cell r="F142">
            <v>90.524100000000004</v>
          </cell>
          <cell r="G142">
            <v>109.0724</v>
          </cell>
          <cell r="H142">
            <v>89.5124</v>
          </cell>
          <cell r="I142">
            <v>111.1019</v>
          </cell>
          <cell r="J142">
            <v>104.9922</v>
          </cell>
          <cell r="K142">
            <v>68.995999999999995</v>
          </cell>
          <cell r="L142">
            <v>83.890900000000002</v>
          </cell>
        </row>
        <row r="143">
          <cell r="A143">
            <v>40664</v>
          </cell>
          <cell r="B143">
            <v>95.456100000000006</v>
          </cell>
          <cell r="C143">
            <v>89.517700000000005</v>
          </cell>
          <cell r="D143">
            <v>99.798500000000004</v>
          </cell>
          <cell r="E143">
            <v>102.1823</v>
          </cell>
          <cell r="F143">
            <v>91.736900000000006</v>
          </cell>
          <cell r="G143">
            <v>107.6023</v>
          </cell>
          <cell r="H143">
            <v>89.575999999999993</v>
          </cell>
          <cell r="I143">
            <v>110.7833</v>
          </cell>
          <cell r="J143">
            <v>105.80629999999999</v>
          </cell>
          <cell r="K143">
            <v>70.043700000000001</v>
          </cell>
          <cell r="L143">
            <v>84.310900000000004</v>
          </cell>
        </row>
        <row r="144">
          <cell r="A144">
            <v>40695</v>
          </cell>
          <cell r="B144">
            <v>95.562700000000007</v>
          </cell>
          <cell r="C144">
            <v>89.978099999999998</v>
          </cell>
          <cell r="D144">
            <v>101.4533</v>
          </cell>
          <cell r="E144">
            <v>99.359399999999994</v>
          </cell>
          <cell r="F144">
            <v>92.803200000000004</v>
          </cell>
          <cell r="G144">
            <v>107.8496</v>
          </cell>
          <cell r="H144">
            <v>89.264600000000002</v>
          </cell>
          <cell r="I144">
            <v>110.6317</v>
          </cell>
          <cell r="J144">
            <v>106.2889</v>
          </cell>
          <cell r="K144">
            <v>70.144000000000005</v>
          </cell>
          <cell r="L144">
            <v>85.268900000000002</v>
          </cell>
        </row>
        <row r="145">
          <cell r="A145">
            <v>40725</v>
          </cell>
          <cell r="B145">
            <v>96.111599999999996</v>
          </cell>
          <cell r="C145">
            <v>89.606999999999999</v>
          </cell>
          <cell r="D145">
            <v>103.18600000000001</v>
          </cell>
          <cell r="E145">
            <v>100.9774</v>
          </cell>
          <cell r="F145">
            <v>93.866</v>
          </cell>
          <cell r="G145">
            <v>107.8566</v>
          </cell>
          <cell r="H145">
            <v>89.962800000000001</v>
          </cell>
          <cell r="I145">
            <v>110.86960000000001</v>
          </cell>
          <cell r="J145">
            <v>107.4115</v>
          </cell>
          <cell r="K145">
            <v>72.171899999999994</v>
          </cell>
          <cell r="L145">
            <v>86.010499999999993</v>
          </cell>
        </row>
        <row r="146">
          <cell r="A146">
            <v>40756</v>
          </cell>
          <cell r="B146">
            <v>96.537000000000006</v>
          </cell>
          <cell r="C146">
            <v>90.853999999999999</v>
          </cell>
          <cell r="D146">
            <v>102.94929999999999</v>
          </cell>
          <cell r="E146">
            <v>101.86960000000001</v>
          </cell>
          <cell r="F146">
            <v>94.245699999999999</v>
          </cell>
          <cell r="G146">
            <v>108.2777</v>
          </cell>
          <cell r="H146">
            <v>90.464699999999993</v>
          </cell>
          <cell r="I146">
            <v>110.90049999999999</v>
          </cell>
          <cell r="J146">
            <v>108.0528</v>
          </cell>
          <cell r="K146">
            <v>74.036900000000003</v>
          </cell>
          <cell r="L146">
            <v>87.364199999999997</v>
          </cell>
        </row>
        <row r="147">
          <cell r="A147">
            <v>40787</v>
          </cell>
          <cell r="B147">
            <v>96.790999999999997</v>
          </cell>
          <cell r="C147">
            <v>90.994200000000006</v>
          </cell>
          <cell r="D147">
            <v>101.087</v>
          </cell>
          <cell r="E147">
            <v>100.5359</v>
          </cell>
          <cell r="F147">
            <v>94.605599999999995</v>
          </cell>
          <cell r="G147">
            <v>108.7603</v>
          </cell>
          <cell r="H147">
            <v>90.862499999999997</v>
          </cell>
          <cell r="I147">
            <v>112.313</v>
          </cell>
          <cell r="J147">
            <v>108.67</v>
          </cell>
          <cell r="K147">
            <v>74.225200000000001</v>
          </cell>
          <cell r="L147">
            <v>88.293899999999994</v>
          </cell>
        </row>
        <row r="148">
          <cell r="A148">
            <v>40817</v>
          </cell>
          <cell r="B148">
            <v>97.31</v>
          </cell>
          <cell r="C148">
            <v>92.881100000000004</v>
          </cell>
          <cell r="D148">
            <v>99.481099999999998</v>
          </cell>
          <cell r="E148">
            <v>101.502</v>
          </cell>
          <cell r="F148">
            <v>94.07</v>
          </cell>
          <cell r="G148">
            <v>108.8147</v>
          </cell>
          <cell r="H148">
            <v>91.6875</v>
          </cell>
          <cell r="I148">
            <v>111.973</v>
          </cell>
          <cell r="J148">
            <v>109.699</v>
          </cell>
          <cell r="K148">
            <v>77.757199999999997</v>
          </cell>
          <cell r="L148">
            <v>90.209100000000007</v>
          </cell>
        </row>
        <row r="149">
          <cell r="A149">
            <v>40848</v>
          </cell>
          <cell r="B149">
            <v>97.124899999999997</v>
          </cell>
          <cell r="C149">
            <v>93.4619</v>
          </cell>
          <cell r="D149">
            <v>99.602000000000004</v>
          </cell>
          <cell r="E149">
            <v>94.285600000000002</v>
          </cell>
          <cell r="F149">
            <v>93.948599999999999</v>
          </cell>
          <cell r="G149">
            <v>107.7234</v>
          </cell>
          <cell r="H149">
            <v>91.296000000000006</v>
          </cell>
          <cell r="I149">
            <v>113.03440000000001</v>
          </cell>
          <cell r="J149">
            <v>110.8905</v>
          </cell>
          <cell r="K149">
            <v>75.839600000000004</v>
          </cell>
          <cell r="L149">
            <v>92.088399999999993</v>
          </cell>
        </row>
        <row r="150">
          <cell r="A150">
            <v>40878</v>
          </cell>
          <cell r="B150">
            <v>97.769099999999995</v>
          </cell>
          <cell r="C150">
            <v>94.204400000000007</v>
          </cell>
          <cell r="D150">
            <v>98.284599999999998</v>
          </cell>
          <cell r="E150">
            <v>93.528700000000001</v>
          </cell>
          <cell r="F150">
            <v>93.478999999999999</v>
          </cell>
          <cell r="G150">
            <v>108.187</v>
          </cell>
          <cell r="H150">
            <v>92.308199999999999</v>
          </cell>
          <cell r="I150">
            <v>113.6276</v>
          </cell>
          <cell r="J150">
            <v>115.0655</v>
          </cell>
          <cell r="K150">
            <v>77.6952</v>
          </cell>
          <cell r="L150">
            <v>92.008899999999997</v>
          </cell>
        </row>
        <row r="151">
          <cell r="A151">
            <v>40909</v>
          </cell>
          <cell r="B151">
            <v>98.608999999999995</v>
          </cell>
          <cell r="C151">
            <v>95.478200000000001</v>
          </cell>
          <cell r="D151">
            <v>95.994600000000005</v>
          </cell>
          <cell r="E151">
            <v>88.248199999999997</v>
          </cell>
          <cell r="F151">
            <v>92.616299999999995</v>
          </cell>
          <cell r="G151">
            <v>109.17</v>
          </cell>
          <cell r="H151">
            <v>92.918000000000006</v>
          </cell>
          <cell r="I151">
            <v>112.5579</v>
          </cell>
          <cell r="J151">
            <v>115.9787</v>
          </cell>
          <cell r="K151">
            <v>81.725300000000004</v>
          </cell>
          <cell r="L151">
            <v>92.044799999999995</v>
          </cell>
        </row>
        <row r="152">
          <cell r="A152">
            <v>40940</v>
          </cell>
          <cell r="B152">
            <v>99.038200000000003</v>
          </cell>
          <cell r="C152">
            <v>95.222300000000004</v>
          </cell>
          <cell r="D152">
            <v>96.602699999999999</v>
          </cell>
          <cell r="E152">
            <v>89.486999999999995</v>
          </cell>
          <cell r="F152">
            <v>94.123099999999994</v>
          </cell>
          <cell r="G152">
            <v>108.7779</v>
          </cell>
          <cell r="H152">
            <v>94.355099999999993</v>
          </cell>
          <cell r="I152">
            <v>113.5851</v>
          </cell>
          <cell r="J152">
            <v>116.2681</v>
          </cell>
          <cell r="K152">
            <v>80.863</v>
          </cell>
          <cell r="L152">
            <v>94.247</v>
          </cell>
        </row>
        <row r="153">
          <cell r="A153">
            <v>40969</v>
          </cell>
          <cell r="B153">
            <v>98.499399999999994</v>
          </cell>
          <cell r="C153">
            <v>95.359800000000007</v>
          </cell>
          <cell r="D153">
            <v>97.375799999999998</v>
          </cell>
          <cell r="E153">
            <v>73.329099999999997</v>
          </cell>
          <cell r="F153">
            <v>92.844300000000004</v>
          </cell>
          <cell r="G153">
            <v>108.4354</v>
          </cell>
          <cell r="H153">
            <v>93.410499999999999</v>
          </cell>
          <cell r="I153">
            <v>109.70569999999999</v>
          </cell>
          <cell r="J153">
            <v>117.8215</v>
          </cell>
          <cell r="K153">
            <v>80.396000000000001</v>
          </cell>
          <cell r="L153">
            <v>94.383799999999994</v>
          </cell>
        </row>
        <row r="154">
          <cell r="A154">
            <v>41000</v>
          </cell>
          <cell r="B154">
            <v>98.989000000000004</v>
          </cell>
          <cell r="C154">
            <v>95.682400000000001</v>
          </cell>
          <cell r="D154">
            <v>99.254400000000004</v>
          </cell>
          <cell r="E154">
            <v>87.167400000000001</v>
          </cell>
          <cell r="F154">
            <v>91.752499999999998</v>
          </cell>
          <cell r="G154">
            <v>108.37269999999999</v>
          </cell>
          <cell r="H154">
            <v>94.306399999999996</v>
          </cell>
          <cell r="I154">
            <v>111.39230000000001</v>
          </cell>
          <cell r="J154">
            <v>118.76819999999999</v>
          </cell>
          <cell r="K154">
            <v>81.596599999999995</v>
          </cell>
          <cell r="L154">
            <v>94.225399999999993</v>
          </cell>
        </row>
        <row r="155">
          <cell r="A155">
            <v>41030</v>
          </cell>
          <cell r="B155">
            <v>98.636399999999995</v>
          </cell>
          <cell r="C155">
            <v>95.636099999999999</v>
          </cell>
          <cell r="D155">
            <v>103.61199999999999</v>
          </cell>
          <cell r="E155">
            <v>90.473699999999994</v>
          </cell>
          <cell r="F155">
            <v>92.117199999999997</v>
          </cell>
          <cell r="G155">
            <v>106.79819999999999</v>
          </cell>
          <cell r="H155">
            <v>93.560900000000004</v>
          </cell>
          <cell r="I155">
            <v>109.08</v>
          </cell>
          <cell r="J155">
            <v>118.6721</v>
          </cell>
          <cell r="K155">
            <v>80.427000000000007</v>
          </cell>
          <cell r="L155">
            <v>94.531499999999994</v>
          </cell>
        </row>
        <row r="156">
          <cell r="A156">
            <v>41061</v>
          </cell>
          <cell r="B156">
            <v>98.910300000000007</v>
          </cell>
          <cell r="C156">
            <v>96.053399999999996</v>
          </cell>
          <cell r="D156">
            <v>100.1306</v>
          </cell>
          <cell r="E156">
            <v>97.152299999999997</v>
          </cell>
          <cell r="F156">
            <v>92.443399999999997</v>
          </cell>
          <cell r="G156">
            <v>106.9474</v>
          </cell>
          <cell r="H156">
            <v>94.402600000000007</v>
          </cell>
          <cell r="I156">
            <v>107.0762</v>
          </cell>
          <cell r="J156">
            <v>120.4521</v>
          </cell>
          <cell r="K156">
            <v>81.614800000000002</v>
          </cell>
          <cell r="L156">
            <v>95.003299999999996</v>
          </cell>
        </row>
        <row r="157">
          <cell r="A157">
            <v>41091</v>
          </cell>
          <cell r="B157">
            <v>98.685900000000004</v>
          </cell>
          <cell r="C157">
            <v>96.836100000000002</v>
          </cell>
          <cell r="D157">
            <v>102.1495</v>
          </cell>
          <cell r="E157">
            <v>97.402199999999993</v>
          </cell>
          <cell r="F157">
            <v>91.679299999999998</v>
          </cell>
          <cell r="G157">
            <v>105.8578</v>
          </cell>
          <cell r="H157">
            <v>95.631799999999998</v>
          </cell>
          <cell r="I157">
            <v>108.127</v>
          </cell>
          <cell r="J157">
            <v>116.661</v>
          </cell>
          <cell r="K157">
            <v>80.921400000000006</v>
          </cell>
          <cell r="L157">
            <v>96.502099999999999</v>
          </cell>
        </row>
        <row r="158">
          <cell r="A158">
            <v>41122</v>
          </cell>
          <cell r="B158">
            <v>98.577699999999993</v>
          </cell>
          <cell r="C158">
            <v>96.089200000000005</v>
          </cell>
          <cell r="D158">
            <v>100.6867</v>
          </cell>
          <cell r="E158">
            <v>98.458500000000001</v>
          </cell>
          <cell r="F158">
            <v>91.5458</v>
          </cell>
          <cell r="G158">
            <v>105.8712</v>
          </cell>
          <cell r="H158">
            <v>94.919899999999998</v>
          </cell>
          <cell r="I158">
            <v>108.9823</v>
          </cell>
          <cell r="J158">
            <v>116.7073</v>
          </cell>
          <cell r="K158">
            <v>79.304100000000005</v>
          </cell>
          <cell r="L158">
            <v>96.827100000000002</v>
          </cell>
        </row>
        <row r="159">
          <cell r="A159">
            <v>41153</v>
          </cell>
          <cell r="B159">
            <v>98.352800000000002</v>
          </cell>
          <cell r="C159">
            <v>97.353899999999996</v>
          </cell>
          <cell r="D159">
            <v>98.499200000000002</v>
          </cell>
          <cell r="E159">
            <v>100.1172</v>
          </cell>
          <cell r="F159">
            <v>91.652600000000007</v>
          </cell>
          <cell r="G159">
            <v>106.11450000000001</v>
          </cell>
          <cell r="H159">
            <v>94.248599999999996</v>
          </cell>
          <cell r="I159">
            <v>104.8729</v>
          </cell>
          <cell r="J159">
            <v>116.5123</v>
          </cell>
          <cell r="K159">
            <v>78.150800000000004</v>
          </cell>
          <cell r="L159">
            <v>97.230099999999993</v>
          </cell>
        </row>
        <row r="160">
          <cell r="A160">
            <v>41183</v>
          </cell>
          <cell r="B160">
            <v>98.1464</v>
          </cell>
          <cell r="C160">
            <v>98.610799999999998</v>
          </cell>
          <cell r="D160">
            <v>99.440899999999999</v>
          </cell>
          <cell r="E160">
            <v>108.2072</v>
          </cell>
          <cell r="F160">
            <v>93.317400000000006</v>
          </cell>
          <cell r="G160">
            <v>105.90089999999999</v>
          </cell>
          <cell r="H160">
            <v>94.465199999999996</v>
          </cell>
          <cell r="I160">
            <v>105.1049</v>
          </cell>
          <cell r="J160">
            <v>113.45269999999999</v>
          </cell>
          <cell r="K160">
            <v>79.358999999999995</v>
          </cell>
          <cell r="L160">
            <v>98.289100000000005</v>
          </cell>
        </row>
        <row r="161">
          <cell r="A161">
            <v>41214</v>
          </cell>
          <cell r="B161">
            <v>98.763400000000004</v>
          </cell>
          <cell r="C161">
            <v>98.959599999999995</v>
          </cell>
          <cell r="D161">
            <v>99.186800000000005</v>
          </cell>
          <cell r="E161">
            <v>101.7803</v>
          </cell>
          <cell r="F161">
            <v>92.518900000000002</v>
          </cell>
          <cell r="G161">
            <v>105.679</v>
          </cell>
          <cell r="H161">
            <v>95.160799999999995</v>
          </cell>
          <cell r="I161">
            <v>108.5959</v>
          </cell>
          <cell r="J161">
            <v>113.2758</v>
          </cell>
          <cell r="K161">
            <v>81.694800000000001</v>
          </cell>
          <cell r="L161">
            <v>98.003200000000007</v>
          </cell>
        </row>
        <row r="162">
          <cell r="A162">
            <v>41244</v>
          </cell>
          <cell r="B162">
            <v>99.468400000000003</v>
          </cell>
          <cell r="C162">
            <v>99.274000000000001</v>
          </cell>
          <cell r="D162">
            <v>97.265299999999996</v>
          </cell>
          <cell r="E162">
            <v>92.625399999999999</v>
          </cell>
          <cell r="F162">
            <v>93.176500000000004</v>
          </cell>
          <cell r="G162">
            <v>106.55710000000001</v>
          </cell>
          <cell r="H162">
            <v>96.411799999999999</v>
          </cell>
          <cell r="I162">
            <v>110.73699999999999</v>
          </cell>
          <cell r="J162">
            <v>113.9472</v>
          </cell>
          <cell r="K162">
            <v>84.861199999999997</v>
          </cell>
          <cell r="L162">
            <v>98.024699999999996</v>
          </cell>
        </row>
        <row r="163">
          <cell r="A163">
            <v>41275</v>
          </cell>
          <cell r="B163">
            <v>99.234999999999999</v>
          </cell>
          <cell r="C163">
            <v>99.226399999999998</v>
          </cell>
          <cell r="D163">
            <v>98.317700000000002</v>
          </cell>
          <cell r="E163">
            <v>96.439099999999996</v>
          </cell>
          <cell r="F163">
            <v>95.712400000000002</v>
          </cell>
          <cell r="G163">
            <v>105.35290000000001</v>
          </cell>
          <cell r="H163">
            <v>96.401700000000005</v>
          </cell>
          <cell r="I163">
            <v>112.5585</v>
          </cell>
          <cell r="J163">
            <v>112.2747</v>
          </cell>
          <cell r="K163">
            <v>82.314999999999998</v>
          </cell>
          <cell r="L163">
            <v>98.415599999999998</v>
          </cell>
        </row>
        <row r="164">
          <cell r="A164">
            <v>41306</v>
          </cell>
          <cell r="B164">
            <v>99.635300000000001</v>
          </cell>
          <cell r="C164">
            <v>99.7012</v>
          </cell>
          <cell r="D164">
            <v>98.522099999999995</v>
          </cell>
          <cell r="E164">
            <v>100.015</v>
          </cell>
          <cell r="F164">
            <v>96.091800000000006</v>
          </cell>
          <cell r="G164">
            <v>104.12220000000001</v>
          </cell>
          <cell r="H164">
            <v>95.724599999999995</v>
          </cell>
          <cell r="I164">
            <v>111.8831</v>
          </cell>
          <cell r="J164">
            <v>112.973</v>
          </cell>
          <cell r="K164">
            <v>84.208600000000004</v>
          </cell>
          <cell r="L164">
            <v>98.965500000000006</v>
          </cell>
        </row>
        <row r="165">
          <cell r="A165">
            <v>41334</v>
          </cell>
          <cell r="B165">
            <v>99.545199999999994</v>
          </cell>
          <cell r="C165">
            <v>100.16070000000001</v>
          </cell>
          <cell r="D165">
            <v>102.1763</v>
          </cell>
          <cell r="E165">
            <v>107.0138</v>
          </cell>
          <cell r="F165">
            <v>95.603099999999998</v>
          </cell>
          <cell r="G165">
            <v>104.008</v>
          </cell>
          <cell r="H165">
            <v>96.3399</v>
          </cell>
          <cell r="I165">
            <v>112.0857</v>
          </cell>
          <cell r="J165">
            <v>113.64709999999999</v>
          </cell>
          <cell r="K165">
            <v>85.746499999999997</v>
          </cell>
          <cell r="L165">
            <v>98.830600000000004</v>
          </cell>
        </row>
        <row r="166">
          <cell r="A166">
            <v>41365</v>
          </cell>
          <cell r="B166">
            <v>99.211100000000002</v>
          </cell>
          <cell r="C166">
            <v>100.7805</v>
          </cell>
          <cell r="D166">
            <v>101.6503</v>
          </cell>
          <cell r="E166">
            <v>108.0292</v>
          </cell>
          <cell r="F166">
            <v>95.179900000000004</v>
          </cell>
          <cell r="G166">
            <v>103.86199999999999</v>
          </cell>
          <cell r="H166">
            <v>96.390199999999993</v>
          </cell>
          <cell r="I166">
            <v>111.8892</v>
          </cell>
          <cell r="J166">
            <v>111.6801</v>
          </cell>
          <cell r="K166">
            <v>85.2654</v>
          </cell>
          <cell r="L166">
            <v>99.574200000000005</v>
          </cell>
        </row>
        <row r="167">
          <cell r="A167">
            <v>41395</v>
          </cell>
          <cell r="B167">
            <v>99.534899999999993</v>
          </cell>
          <cell r="C167">
            <v>101.48909999999999</v>
          </cell>
          <cell r="D167">
            <v>99.880899999999997</v>
          </cell>
          <cell r="E167">
            <v>102.5364</v>
          </cell>
          <cell r="F167">
            <v>95.933099999999996</v>
          </cell>
          <cell r="G167">
            <v>104.452</v>
          </cell>
          <cell r="H167">
            <v>96.196700000000007</v>
          </cell>
          <cell r="I167">
            <v>112.31910000000001</v>
          </cell>
          <cell r="J167">
            <v>110.43510000000001</v>
          </cell>
          <cell r="K167">
            <v>85.884699999999995</v>
          </cell>
          <cell r="L167">
            <v>98.857699999999994</v>
          </cell>
        </row>
        <row r="168">
          <cell r="A168">
            <v>41426</v>
          </cell>
          <cell r="B168">
            <v>99.748900000000006</v>
          </cell>
          <cell r="C168">
            <v>102.0154</v>
          </cell>
          <cell r="D168">
            <v>98.778800000000004</v>
          </cell>
          <cell r="E168">
            <v>101.5389</v>
          </cell>
          <cell r="F168">
            <v>96.451099999999997</v>
          </cell>
          <cell r="G168">
            <v>104.03149999999999</v>
          </cell>
          <cell r="H168">
            <v>95.670400000000001</v>
          </cell>
          <cell r="I168">
            <v>111.29</v>
          </cell>
          <cell r="J168">
            <v>110.6204</v>
          </cell>
          <cell r="K168">
            <v>87.578299999999999</v>
          </cell>
          <cell r="L168">
            <v>98.558499999999995</v>
          </cell>
        </row>
        <row r="169">
          <cell r="A169">
            <v>41456</v>
          </cell>
          <cell r="B169">
            <v>98.953599999999994</v>
          </cell>
          <cell r="C169">
            <v>102.8867</v>
          </cell>
          <cell r="D169">
            <v>98.575000000000003</v>
          </cell>
          <cell r="E169">
            <v>102.3549</v>
          </cell>
          <cell r="F169">
            <v>96.486199999999997</v>
          </cell>
          <cell r="G169">
            <v>103.58669999999999</v>
          </cell>
          <cell r="H169">
            <v>95.4191</v>
          </cell>
          <cell r="I169">
            <v>112.93510000000001</v>
          </cell>
          <cell r="J169">
            <v>108.4958</v>
          </cell>
          <cell r="K169">
            <v>82.215999999999994</v>
          </cell>
          <cell r="L169">
            <v>97.193399999999997</v>
          </cell>
        </row>
        <row r="170">
          <cell r="A170">
            <v>41487</v>
          </cell>
          <cell r="B170">
            <v>99.807500000000005</v>
          </cell>
          <cell r="C170">
            <v>103.03879999999999</v>
          </cell>
          <cell r="D170">
            <v>98.259299999999996</v>
          </cell>
          <cell r="E170">
            <v>102.7184</v>
          </cell>
          <cell r="F170">
            <v>96.144599999999997</v>
          </cell>
          <cell r="G170">
            <v>103.4568</v>
          </cell>
          <cell r="H170">
            <v>94.630499999999998</v>
          </cell>
          <cell r="I170">
            <v>112.86</v>
          </cell>
          <cell r="J170">
            <v>111.0812</v>
          </cell>
          <cell r="K170">
            <v>87.843199999999996</v>
          </cell>
          <cell r="L170">
            <v>98.259200000000007</v>
          </cell>
        </row>
        <row r="171">
          <cell r="A171">
            <v>41518</v>
          </cell>
          <cell r="B171">
            <v>99.9011</v>
          </cell>
          <cell r="C171">
            <v>104.1574</v>
          </cell>
          <cell r="D171">
            <v>99.6738</v>
          </cell>
          <cell r="E171">
            <v>102.63209999999999</v>
          </cell>
          <cell r="F171">
            <v>97.423000000000002</v>
          </cell>
          <cell r="G171">
            <v>102.3556</v>
          </cell>
          <cell r="H171">
            <v>95.173299999999998</v>
          </cell>
          <cell r="I171">
            <v>113.30710000000001</v>
          </cell>
          <cell r="J171">
            <v>111.551</v>
          </cell>
          <cell r="K171">
            <v>89.586399999999998</v>
          </cell>
          <cell r="L171">
            <v>98.130600000000001</v>
          </cell>
        </row>
        <row r="172">
          <cell r="A172">
            <v>41548</v>
          </cell>
          <cell r="B172">
            <v>100.0304</v>
          </cell>
          <cell r="C172">
            <v>102.7944</v>
          </cell>
          <cell r="D172">
            <v>100.9119</v>
          </cell>
          <cell r="E172">
            <v>106.24769999999999</v>
          </cell>
          <cell r="F172">
            <v>97.054299999999998</v>
          </cell>
          <cell r="G172">
            <v>102.0977</v>
          </cell>
          <cell r="H172">
            <v>95.370199999999997</v>
          </cell>
          <cell r="I172">
            <v>115.00449999999999</v>
          </cell>
          <cell r="J172">
            <v>110.8386</v>
          </cell>
          <cell r="K172">
            <v>88.732600000000005</v>
          </cell>
          <cell r="L172">
            <v>99.3185</v>
          </cell>
        </row>
        <row r="173">
          <cell r="A173">
            <v>41579</v>
          </cell>
          <cell r="B173">
            <v>99.996099999999998</v>
          </cell>
          <cell r="C173">
            <v>103.3733</v>
          </cell>
          <cell r="D173">
            <v>101.4956</v>
          </cell>
          <cell r="E173">
            <v>112.38200000000001</v>
          </cell>
          <cell r="F173">
            <v>96.247200000000007</v>
          </cell>
          <cell r="G173">
            <v>101.7555</v>
          </cell>
          <cell r="H173">
            <v>95.0214</v>
          </cell>
          <cell r="I173">
            <v>113.3745</v>
          </cell>
          <cell r="J173">
            <v>111.19750000000001</v>
          </cell>
          <cell r="K173">
            <v>90.831900000000005</v>
          </cell>
          <cell r="L173">
            <v>98.622699999999995</v>
          </cell>
        </row>
        <row r="174">
          <cell r="A174">
            <v>41609</v>
          </cell>
          <cell r="B174">
            <v>99.832499999999996</v>
          </cell>
          <cell r="C174">
            <v>103.74639999999999</v>
          </cell>
          <cell r="D174">
            <v>103.8265</v>
          </cell>
          <cell r="E174">
            <v>117.3319</v>
          </cell>
          <cell r="F174">
            <v>95.757599999999996</v>
          </cell>
          <cell r="G174">
            <v>102.0692</v>
          </cell>
          <cell r="H174">
            <v>95.525300000000001</v>
          </cell>
          <cell r="I174">
            <v>113.4235</v>
          </cell>
          <cell r="J174">
            <v>109.42310000000001</v>
          </cell>
          <cell r="K174">
            <v>91.046300000000002</v>
          </cell>
          <cell r="L174">
            <v>98.423000000000002</v>
          </cell>
        </row>
        <row r="175">
          <cell r="A175">
            <v>41640</v>
          </cell>
          <cell r="B175">
            <v>98.775499999999994</v>
          </cell>
          <cell r="C175">
            <v>104.8429</v>
          </cell>
          <cell r="D175">
            <v>105.1589</v>
          </cell>
          <cell r="E175">
            <v>114.8186</v>
          </cell>
          <cell r="F175">
            <v>94.747500000000002</v>
          </cell>
          <cell r="G175">
            <v>101.3117</v>
          </cell>
          <cell r="H175">
            <v>94.883099999999999</v>
          </cell>
          <cell r="I175">
            <v>111.34780000000001</v>
          </cell>
          <cell r="J175">
            <v>111.8515</v>
          </cell>
          <cell r="K175">
            <v>85.9846</v>
          </cell>
          <cell r="L175">
            <v>98.108099999999993</v>
          </cell>
        </row>
        <row r="176">
          <cell r="A176">
            <v>41671</v>
          </cell>
          <cell r="B176">
            <v>99.6952</v>
          </cell>
          <cell r="C176">
            <v>105.5227</v>
          </cell>
          <cell r="D176">
            <v>104.07429999999999</v>
          </cell>
          <cell r="E176">
            <v>114.94410000000001</v>
          </cell>
          <cell r="F176">
            <v>94.777100000000004</v>
          </cell>
          <cell r="G176">
            <v>101.22239999999999</v>
          </cell>
          <cell r="H176">
            <v>95.841800000000006</v>
          </cell>
          <cell r="I176">
            <v>112.9097</v>
          </cell>
          <cell r="J176">
            <v>112.8283</v>
          </cell>
          <cell r="K176">
            <v>92.279499999999999</v>
          </cell>
          <cell r="L176">
            <v>98.911799999999999</v>
          </cell>
        </row>
        <row r="177">
          <cell r="A177">
            <v>41699</v>
          </cell>
          <cell r="B177">
            <v>100.587</v>
          </cell>
          <cell r="C177">
            <v>107.2381</v>
          </cell>
          <cell r="D177">
            <v>103.8266</v>
          </cell>
          <cell r="E177">
            <v>112.90689999999999</v>
          </cell>
          <cell r="F177">
            <v>94.810500000000005</v>
          </cell>
          <cell r="G177">
            <v>102.0891</v>
          </cell>
          <cell r="H177">
            <v>97.311800000000005</v>
          </cell>
          <cell r="I177">
            <v>113.9049</v>
          </cell>
          <cell r="J177">
            <v>114.88630000000001</v>
          </cell>
          <cell r="K177">
            <v>93.110699999999994</v>
          </cell>
          <cell r="L177">
            <v>100.6109</v>
          </cell>
        </row>
        <row r="178">
          <cell r="A178">
            <v>41730</v>
          </cell>
          <cell r="B178">
            <v>100.5534</v>
          </cell>
          <cell r="C178">
            <v>108.9038</v>
          </cell>
          <cell r="D178">
            <v>101.0476</v>
          </cell>
          <cell r="E178">
            <v>108.5779</v>
          </cell>
          <cell r="F178">
            <v>95.0655</v>
          </cell>
          <cell r="G178">
            <v>102.2744</v>
          </cell>
          <cell r="H178">
            <v>96.958399999999997</v>
          </cell>
          <cell r="I178">
            <v>113.82810000000001</v>
          </cell>
          <cell r="J178">
            <v>112.9901</v>
          </cell>
          <cell r="K178">
            <v>92.474900000000005</v>
          </cell>
          <cell r="L178">
            <v>100.67100000000001</v>
          </cell>
        </row>
        <row r="179">
          <cell r="A179">
            <v>41760</v>
          </cell>
          <cell r="B179">
            <v>100.8479</v>
          </cell>
          <cell r="C179">
            <v>109.5287</v>
          </cell>
          <cell r="D179">
            <v>100.8309</v>
          </cell>
          <cell r="E179">
            <v>108.3314</v>
          </cell>
          <cell r="F179">
            <v>93.305099999999996</v>
          </cell>
          <cell r="G179">
            <v>101.46080000000001</v>
          </cell>
          <cell r="H179">
            <v>98.628799999999998</v>
          </cell>
          <cell r="I179">
            <v>113.1833</v>
          </cell>
          <cell r="J179">
            <v>113.64919999999999</v>
          </cell>
          <cell r="K179">
            <v>95.482600000000005</v>
          </cell>
          <cell r="L179">
            <v>101.863</v>
          </cell>
        </row>
        <row r="180">
          <cell r="A180">
            <v>41791</v>
          </cell>
          <cell r="B180">
            <v>101.1632</v>
          </cell>
          <cell r="C180">
            <v>110.5651</v>
          </cell>
          <cell r="D180">
            <v>99.537300000000002</v>
          </cell>
          <cell r="E180">
            <v>102.98</v>
          </cell>
          <cell r="F180">
            <v>91.736400000000003</v>
          </cell>
          <cell r="G180">
            <v>102.50069999999999</v>
          </cell>
          <cell r="H180">
            <v>99.959299999999999</v>
          </cell>
          <cell r="I180">
            <v>114.7983</v>
          </cell>
          <cell r="J180">
            <v>112.6491</v>
          </cell>
          <cell r="K180">
            <v>95.552199999999999</v>
          </cell>
          <cell r="L180">
            <v>102.5381</v>
          </cell>
        </row>
        <row r="181">
          <cell r="A181">
            <v>41821</v>
          </cell>
          <cell r="B181">
            <v>101.5934</v>
          </cell>
          <cell r="C181">
            <v>111.10769999999999</v>
          </cell>
          <cell r="D181">
            <v>97.004999999999995</v>
          </cell>
          <cell r="E181">
            <v>103.5087</v>
          </cell>
          <cell r="F181">
            <v>92.757599999999996</v>
          </cell>
          <cell r="G181">
            <v>102.79940000000001</v>
          </cell>
          <cell r="H181">
            <v>98.694900000000004</v>
          </cell>
          <cell r="I181">
            <v>115.1614</v>
          </cell>
          <cell r="J181">
            <v>113.04640000000001</v>
          </cell>
          <cell r="K181">
            <v>101.1194</v>
          </cell>
          <cell r="L181">
            <v>103.52760000000001</v>
          </cell>
        </row>
        <row r="182">
          <cell r="A182">
            <v>41852</v>
          </cell>
          <cell r="B182">
            <v>101.0222</v>
          </cell>
          <cell r="C182">
            <v>111.76779999999999</v>
          </cell>
          <cell r="D182">
            <v>98.0214</v>
          </cell>
          <cell r="E182">
            <v>102.7517</v>
          </cell>
          <cell r="F182">
            <v>92.418999999999997</v>
          </cell>
          <cell r="G182">
            <v>103.3719</v>
          </cell>
          <cell r="H182">
            <v>98.599500000000006</v>
          </cell>
          <cell r="I182">
            <v>114.401</v>
          </cell>
          <cell r="J182">
            <v>112.34050000000001</v>
          </cell>
          <cell r="K182">
            <v>96.147099999999995</v>
          </cell>
          <cell r="L182">
            <v>102.69450000000001</v>
          </cell>
        </row>
        <row r="183">
          <cell r="A183">
            <v>41883</v>
          </cell>
          <cell r="B183">
            <v>101.0361</v>
          </cell>
          <cell r="C183">
            <v>112.1057</v>
          </cell>
          <cell r="D183">
            <v>99.911299999999997</v>
          </cell>
          <cell r="E183">
            <v>106.79940000000001</v>
          </cell>
          <cell r="F183">
            <v>91.369299999999996</v>
          </cell>
          <cell r="G183">
            <v>103.2402</v>
          </cell>
          <cell r="H183">
            <v>99.031300000000002</v>
          </cell>
          <cell r="I183">
            <v>115.2484</v>
          </cell>
          <cell r="J183">
            <v>110.21169999999999</v>
          </cell>
          <cell r="K183">
            <v>94.490200000000002</v>
          </cell>
          <cell r="L183">
            <v>104.1542</v>
          </cell>
        </row>
        <row r="184">
          <cell r="A184">
            <v>41913</v>
          </cell>
          <cell r="B184">
            <v>100.9151</v>
          </cell>
          <cell r="C184">
            <v>112.1915</v>
          </cell>
          <cell r="D184">
            <v>100.85769999999999</v>
          </cell>
          <cell r="E184">
            <v>104.9101</v>
          </cell>
          <cell r="F184">
            <v>89.573099999999997</v>
          </cell>
          <cell r="G184">
            <v>102.34139999999999</v>
          </cell>
          <cell r="H184">
            <v>98.871700000000004</v>
          </cell>
          <cell r="I184">
            <v>113.12090000000001</v>
          </cell>
          <cell r="J184">
            <v>112.684</v>
          </cell>
          <cell r="K184">
            <v>93.793499999999995</v>
          </cell>
          <cell r="L184">
            <v>104.6922</v>
          </cell>
        </row>
        <row r="185">
          <cell r="A185">
            <v>41944</v>
          </cell>
          <cell r="B185">
            <v>101.6026</v>
          </cell>
          <cell r="C185">
            <v>111.4931</v>
          </cell>
          <cell r="D185">
            <v>102.801</v>
          </cell>
          <cell r="E185">
            <v>117.1948</v>
          </cell>
          <cell r="F185">
            <v>90.468699999999998</v>
          </cell>
          <cell r="G185">
            <v>102.4669</v>
          </cell>
          <cell r="H185">
            <v>100.1874</v>
          </cell>
          <cell r="I185">
            <v>111.1249</v>
          </cell>
          <cell r="J185">
            <v>113.9487</v>
          </cell>
          <cell r="K185">
            <v>98.590599999999995</v>
          </cell>
          <cell r="L185">
            <v>104.49679999999999</v>
          </cell>
        </row>
        <row r="186">
          <cell r="A186">
            <v>41974</v>
          </cell>
          <cell r="B186">
            <v>101.38460000000001</v>
          </cell>
          <cell r="C186">
            <v>113.4555</v>
          </cell>
          <cell r="D186">
            <v>101.15649999999999</v>
          </cell>
          <cell r="E186">
            <v>103.30800000000001</v>
          </cell>
          <cell r="F186">
            <v>91.156499999999994</v>
          </cell>
          <cell r="G186">
            <v>103.05880000000001</v>
          </cell>
          <cell r="H186">
            <v>99.526300000000006</v>
          </cell>
          <cell r="I186">
            <v>113.11060000000001</v>
          </cell>
          <cell r="J186">
            <v>110.98399999999999</v>
          </cell>
          <cell r="K186">
            <v>97.569000000000003</v>
          </cell>
          <cell r="L186">
            <v>104.7</v>
          </cell>
        </row>
        <row r="187">
          <cell r="A187">
            <v>42005</v>
          </cell>
          <cell r="B187">
            <v>100.8105</v>
          </cell>
          <cell r="C187">
            <v>110.9348</v>
          </cell>
          <cell r="D187">
            <v>101.8197</v>
          </cell>
          <cell r="E187">
            <v>106.6399</v>
          </cell>
          <cell r="F187">
            <v>89.385300000000001</v>
          </cell>
          <cell r="G187">
            <v>102.7359</v>
          </cell>
          <cell r="H187">
            <v>99.522400000000005</v>
          </cell>
          <cell r="I187">
            <v>110.21469999999999</v>
          </cell>
          <cell r="J187">
            <v>110.0697</v>
          </cell>
          <cell r="K187">
            <v>97.690299999999993</v>
          </cell>
          <cell r="L187">
            <v>103.5806</v>
          </cell>
        </row>
        <row r="188">
          <cell r="A188">
            <v>42036</v>
          </cell>
          <cell r="B188">
            <v>100.032</v>
          </cell>
          <cell r="C188">
            <v>108.00239999999999</v>
          </cell>
          <cell r="D188">
            <v>105.6591</v>
          </cell>
          <cell r="E188">
            <v>123.6615</v>
          </cell>
          <cell r="F188">
            <v>90.572800000000001</v>
          </cell>
          <cell r="G188">
            <v>102.5231</v>
          </cell>
          <cell r="H188">
            <v>98.589200000000005</v>
          </cell>
          <cell r="I188">
            <v>107.29389999999999</v>
          </cell>
          <cell r="J188">
            <v>109.1891</v>
          </cell>
          <cell r="K188">
            <v>93.787199999999999</v>
          </cell>
          <cell r="L188">
            <v>105.313</v>
          </cell>
        </row>
        <row r="189">
          <cell r="A189">
            <v>42064</v>
          </cell>
          <cell r="B189">
            <v>100.40779999999999</v>
          </cell>
          <cell r="C189">
            <v>106.1688</v>
          </cell>
          <cell r="D189">
            <v>104.36750000000001</v>
          </cell>
          <cell r="E189">
            <v>105.4684</v>
          </cell>
          <cell r="F189">
            <v>89.247699999999995</v>
          </cell>
          <cell r="G189">
            <v>101.7741</v>
          </cell>
          <cell r="H189">
            <v>98.721000000000004</v>
          </cell>
          <cell r="I189">
            <v>105.0804</v>
          </cell>
          <cell r="J189">
            <v>107.0642</v>
          </cell>
          <cell r="K189">
            <v>98.307400000000001</v>
          </cell>
          <cell r="L189">
            <v>105.50190000000001</v>
          </cell>
        </row>
        <row r="190">
          <cell r="A190">
            <v>42095</v>
          </cell>
          <cell r="B190">
            <v>100.376</v>
          </cell>
          <cell r="C190">
            <v>105.1596</v>
          </cell>
          <cell r="D190">
            <v>101.4233</v>
          </cell>
          <cell r="E190">
            <v>102.59820000000001</v>
          </cell>
          <cell r="F190">
            <v>89.746899999999997</v>
          </cell>
          <cell r="G190">
            <v>102.279</v>
          </cell>
          <cell r="H190">
            <v>99.123000000000005</v>
          </cell>
          <cell r="I190">
            <v>104.9387</v>
          </cell>
          <cell r="J190">
            <v>105.87130000000001</v>
          </cell>
          <cell r="K190">
            <v>99.165400000000005</v>
          </cell>
          <cell r="L190">
            <v>104.6904</v>
          </cell>
        </row>
        <row r="191">
          <cell r="A191">
            <v>42125</v>
          </cell>
          <cell r="B191">
            <v>100.38849999999999</v>
          </cell>
          <cell r="C191">
            <v>103.256</v>
          </cell>
          <cell r="D191">
            <v>100.5033</v>
          </cell>
          <cell r="E191">
            <v>98.964200000000005</v>
          </cell>
          <cell r="F191">
            <v>89.305300000000003</v>
          </cell>
          <cell r="G191">
            <v>101.2102</v>
          </cell>
          <cell r="H191">
            <v>99.743200000000002</v>
          </cell>
          <cell r="I191">
            <v>104.7602</v>
          </cell>
          <cell r="J191">
            <v>105.3291</v>
          </cell>
          <cell r="K191">
            <v>102.87560000000001</v>
          </cell>
          <cell r="L191">
            <v>104.2998</v>
          </cell>
        </row>
        <row r="192">
          <cell r="A192">
            <v>42156</v>
          </cell>
          <cell r="B192">
            <v>100.0235</v>
          </cell>
          <cell r="C192">
            <v>102.2886</v>
          </cell>
          <cell r="D192">
            <v>100.807</v>
          </cell>
          <cell r="E192">
            <v>104.0598</v>
          </cell>
          <cell r="F192">
            <v>88.372799999999998</v>
          </cell>
          <cell r="G192">
            <v>101.9632</v>
          </cell>
          <cell r="H192">
            <v>99.170599999999993</v>
          </cell>
          <cell r="I192">
            <v>107.6353</v>
          </cell>
          <cell r="J192">
            <v>103.327</v>
          </cell>
          <cell r="K192">
            <v>97.875399999999999</v>
          </cell>
          <cell r="L192">
            <v>102.9627</v>
          </cell>
        </row>
        <row r="193">
          <cell r="A193">
            <v>42186</v>
          </cell>
          <cell r="B193">
            <v>100.7573</v>
          </cell>
          <cell r="C193">
            <v>103.0097</v>
          </cell>
          <cell r="D193">
            <v>100.14</v>
          </cell>
          <cell r="E193">
            <v>103.50279999999999</v>
          </cell>
          <cell r="F193">
            <v>89.799400000000006</v>
          </cell>
          <cell r="G193">
            <v>101.9704</v>
          </cell>
          <cell r="H193">
            <v>99.800700000000006</v>
          </cell>
          <cell r="I193">
            <v>107.34059999999999</v>
          </cell>
          <cell r="J193">
            <v>102.55589999999999</v>
          </cell>
          <cell r="K193">
            <v>106.74809999999999</v>
          </cell>
          <cell r="L193">
            <v>102.27249999999999</v>
          </cell>
        </row>
        <row r="194">
          <cell r="A194">
            <v>42217</v>
          </cell>
          <cell r="B194">
            <v>100.4511</v>
          </cell>
          <cell r="C194">
            <v>103.19459999999999</v>
          </cell>
          <cell r="D194">
            <v>100.57850000000001</v>
          </cell>
          <cell r="E194">
            <v>102.9151</v>
          </cell>
          <cell r="F194">
            <v>90.457499999999996</v>
          </cell>
          <cell r="G194">
            <v>101.1066</v>
          </cell>
          <cell r="H194">
            <v>101.0513</v>
          </cell>
          <cell r="I194">
            <v>105.5068</v>
          </cell>
          <cell r="J194">
            <v>103.6814</v>
          </cell>
          <cell r="K194">
            <v>101.0145</v>
          </cell>
          <cell r="L194">
            <v>101.85169999999999</v>
          </cell>
        </row>
        <row r="195">
          <cell r="A195">
            <v>42248</v>
          </cell>
          <cell r="B195">
            <v>100.1636</v>
          </cell>
          <cell r="C195">
            <v>102.5326</v>
          </cell>
          <cell r="D195">
            <v>102.0116</v>
          </cell>
          <cell r="E195">
            <v>100.2698</v>
          </cell>
          <cell r="F195">
            <v>91.750600000000006</v>
          </cell>
          <cell r="G195">
            <v>101.7731</v>
          </cell>
          <cell r="H195">
            <v>100.99250000000001</v>
          </cell>
          <cell r="I195">
            <v>104.295</v>
          </cell>
          <cell r="J195">
            <v>101.90560000000001</v>
          </cell>
          <cell r="K195">
            <v>100.69410000000001</v>
          </cell>
          <cell r="L195">
            <v>100.6378</v>
          </cell>
        </row>
        <row r="196">
          <cell r="A196">
            <v>42278</v>
          </cell>
          <cell r="B196">
            <v>100.0498</v>
          </cell>
          <cell r="C196">
            <v>101.2073</v>
          </cell>
          <cell r="D196">
            <v>100.2454</v>
          </cell>
          <cell r="E196">
            <v>101.5384</v>
          </cell>
          <cell r="F196">
            <v>93.430300000000003</v>
          </cell>
          <cell r="G196">
            <v>101.9071</v>
          </cell>
          <cell r="H196">
            <v>100.7693</v>
          </cell>
          <cell r="I196">
            <v>105.2317</v>
          </cell>
          <cell r="J196">
            <v>100.1331</v>
          </cell>
          <cell r="K196">
            <v>101.45820000000001</v>
          </cell>
          <cell r="L196">
            <v>99.810500000000005</v>
          </cell>
        </row>
        <row r="197">
          <cell r="A197">
            <v>42309</v>
          </cell>
          <cell r="B197">
            <v>99.771900000000002</v>
          </cell>
          <cell r="C197">
            <v>99.570700000000002</v>
          </cell>
          <cell r="D197">
            <v>98.167199999999994</v>
          </cell>
          <cell r="E197">
            <v>94.084599999999995</v>
          </cell>
          <cell r="F197">
            <v>93.312600000000003</v>
          </cell>
          <cell r="G197">
            <v>102.0796</v>
          </cell>
          <cell r="H197">
            <v>100.82510000000001</v>
          </cell>
          <cell r="I197">
            <v>103.667</v>
          </cell>
          <cell r="J197">
            <v>98.687200000000004</v>
          </cell>
          <cell r="K197">
            <v>98.955500000000001</v>
          </cell>
          <cell r="L197">
            <v>98.517200000000003</v>
          </cell>
        </row>
        <row r="198">
          <cell r="A198">
            <v>42339</v>
          </cell>
          <cell r="B198">
            <v>99.497699999999995</v>
          </cell>
          <cell r="C198">
            <v>98.8065</v>
          </cell>
          <cell r="D198">
            <v>96.788600000000002</v>
          </cell>
          <cell r="E198">
            <v>88.436400000000006</v>
          </cell>
          <cell r="F198">
            <v>92.734700000000004</v>
          </cell>
          <cell r="G198">
            <v>102.0192</v>
          </cell>
          <cell r="H198">
            <v>100.8466</v>
          </cell>
          <cell r="I198">
            <v>102.1293</v>
          </cell>
          <cell r="J198">
            <v>96.817300000000003</v>
          </cell>
          <cell r="K198">
            <v>97.802400000000006</v>
          </cell>
          <cell r="L198">
            <v>98.459599999999995</v>
          </cell>
        </row>
        <row r="199">
          <cell r="A199">
            <v>42370</v>
          </cell>
          <cell r="B199">
            <v>99.901700000000005</v>
          </cell>
          <cell r="C199">
            <v>97.843599999999995</v>
          </cell>
          <cell r="D199">
            <v>99.692099999999996</v>
          </cell>
          <cell r="E199">
            <v>100.2325</v>
          </cell>
          <cell r="F199">
            <v>93.067099999999996</v>
          </cell>
          <cell r="G199">
            <v>103.0104</v>
          </cell>
          <cell r="H199">
            <v>100.7286</v>
          </cell>
          <cell r="I199">
            <v>103.386</v>
          </cell>
          <cell r="J199">
            <v>96.691800000000001</v>
          </cell>
          <cell r="K199">
            <v>100.9868</v>
          </cell>
          <cell r="L199">
            <v>96.363</v>
          </cell>
        </row>
        <row r="200">
          <cell r="A200">
            <v>42401</v>
          </cell>
          <cell r="B200">
            <v>99.531999999999996</v>
          </cell>
          <cell r="C200">
            <v>96.384600000000006</v>
          </cell>
          <cell r="D200">
            <v>99.327399999999997</v>
          </cell>
          <cell r="E200">
            <v>100.6836</v>
          </cell>
          <cell r="F200">
            <v>95.407700000000006</v>
          </cell>
          <cell r="G200">
            <v>102.2175</v>
          </cell>
          <cell r="H200">
            <v>100.6955</v>
          </cell>
          <cell r="I200">
            <v>103.47410000000001</v>
          </cell>
          <cell r="J200">
            <v>95.697000000000003</v>
          </cell>
          <cell r="K200">
            <v>100.1521</v>
          </cell>
          <cell r="L200">
            <v>95.918999999999997</v>
          </cell>
        </row>
        <row r="201">
          <cell r="A201">
            <v>42430</v>
          </cell>
          <cell r="B201">
            <v>99.469099999999997</v>
          </cell>
          <cell r="C201">
            <v>95.084199999999996</v>
          </cell>
          <cell r="D201">
            <v>97.472200000000001</v>
          </cell>
          <cell r="E201">
            <v>80.566999999999993</v>
          </cell>
          <cell r="F201">
            <v>96.657700000000006</v>
          </cell>
          <cell r="G201">
            <v>103.1083</v>
          </cell>
          <cell r="H201">
            <v>100.7863</v>
          </cell>
          <cell r="I201">
            <v>103.4804</v>
          </cell>
          <cell r="J201">
            <v>95.125</v>
          </cell>
          <cell r="K201">
            <v>98.995900000000006</v>
          </cell>
          <cell r="L201">
            <v>95.223600000000005</v>
          </cell>
        </row>
        <row r="202">
          <cell r="A202">
            <v>42461</v>
          </cell>
          <cell r="B202">
            <v>99.303100000000001</v>
          </cell>
          <cell r="C202">
            <v>93.231099999999998</v>
          </cell>
          <cell r="D202">
            <v>100.9385</v>
          </cell>
          <cell r="E202">
            <v>105.1279</v>
          </cell>
          <cell r="F202">
            <v>95.158299999999997</v>
          </cell>
          <cell r="G202">
            <v>102.29519999999999</v>
          </cell>
          <cell r="H202">
            <v>101.59739999999999</v>
          </cell>
          <cell r="I202">
            <v>102.634</v>
          </cell>
          <cell r="J202">
            <v>95.649600000000007</v>
          </cell>
          <cell r="K202">
            <v>100.67829999999999</v>
          </cell>
          <cell r="L202">
            <v>94.472700000000003</v>
          </cell>
        </row>
        <row r="203">
          <cell r="A203">
            <v>42491</v>
          </cell>
          <cell r="B203">
            <v>99.239199999999997</v>
          </cell>
          <cell r="C203">
            <v>93.275700000000001</v>
          </cell>
          <cell r="D203">
            <v>99.4238</v>
          </cell>
          <cell r="E203">
            <v>103.43899999999999</v>
          </cell>
          <cell r="F203">
            <v>95.265100000000004</v>
          </cell>
          <cell r="G203">
            <v>101.83540000000001</v>
          </cell>
          <cell r="H203">
            <v>101.6541</v>
          </cell>
          <cell r="I203">
            <v>103.9314</v>
          </cell>
          <cell r="J203">
            <v>95.2624</v>
          </cell>
          <cell r="K203">
            <v>98.076999999999998</v>
          </cell>
          <cell r="L203">
            <v>95.26</v>
          </cell>
        </row>
        <row r="204">
          <cell r="A204">
            <v>42522</v>
          </cell>
          <cell r="B204">
            <v>99.470600000000005</v>
          </cell>
          <cell r="C204">
            <v>93.0017</v>
          </cell>
          <cell r="D204">
            <v>102.6425</v>
          </cell>
          <cell r="E204">
            <v>103.6614</v>
          </cell>
          <cell r="F204">
            <v>96.781800000000004</v>
          </cell>
          <cell r="G204">
            <v>100.8031</v>
          </cell>
          <cell r="H204">
            <v>101.2976</v>
          </cell>
          <cell r="I204">
            <v>102.7998</v>
          </cell>
          <cell r="J204">
            <v>97.133099999999999</v>
          </cell>
          <cell r="K204">
            <v>101.86150000000001</v>
          </cell>
          <cell r="L204">
            <v>94.409199999999998</v>
          </cell>
        </row>
        <row r="205">
          <cell r="A205">
            <v>42552</v>
          </cell>
          <cell r="B205">
            <v>99.510900000000007</v>
          </cell>
          <cell r="C205">
            <v>93.467799999999997</v>
          </cell>
          <cell r="D205">
            <v>102.9901</v>
          </cell>
          <cell r="E205">
            <v>102.6236</v>
          </cell>
          <cell r="F205">
            <v>97.388300000000001</v>
          </cell>
          <cell r="G205">
            <v>100.4864</v>
          </cell>
          <cell r="H205">
            <v>102.4713</v>
          </cell>
          <cell r="I205">
            <v>100.73439999999999</v>
          </cell>
          <cell r="J205">
            <v>97.876400000000004</v>
          </cell>
          <cell r="K205">
            <v>102.7496</v>
          </cell>
          <cell r="L205">
            <v>94.230500000000006</v>
          </cell>
        </row>
        <row r="206">
          <cell r="A206">
            <v>42583</v>
          </cell>
          <cell r="B206">
            <v>99.168599999999998</v>
          </cell>
          <cell r="C206">
            <v>93.053600000000003</v>
          </cell>
          <cell r="D206">
            <v>105.33329999999999</v>
          </cell>
          <cell r="E206">
            <v>102.96899999999999</v>
          </cell>
          <cell r="F206">
            <v>97.584199999999996</v>
          </cell>
          <cell r="G206">
            <v>100.0689</v>
          </cell>
          <cell r="H206">
            <v>101.4563</v>
          </cell>
          <cell r="I206">
            <v>99.687299999999993</v>
          </cell>
          <cell r="J206">
            <v>96.632800000000003</v>
          </cell>
          <cell r="K206">
            <v>101.7248</v>
          </cell>
          <cell r="L206">
            <v>94.777600000000007</v>
          </cell>
        </row>
        <row r="207">
          <cell r="A207">
            <v>42614</v>
          </cell>
          <cell r="B207">
            <v>99.358199999999997</v>
          </cell>
          <cell r="C207">
            <v>93.482699999999994</v>
          </cell>
          <cell r="D207">
            <v>102.81319999999999</v>
          </cell>
          <cell r="E207">
            <v>100.95869999999999</v>
          </cell>
          <cell r="F207">
            <v>98.325800000000001</v>
          </cell>
          <cell r="G207">
            <v>100.8674</v>
          </cell>
          <cell r="H207">
            <v>101.9478</v>
          </cell>
          <cell r="I207">
            <v>98.194999999999993</v>
          </cell>
          <cell r="J207">
            <v>94.368899999999996</v>
          </cell>
          <cell r="K207">
            <v>101.9241</v>
          </cell>
          <cell r="L207">
            <v>94.730800000000002</v>
          </cell>
        </row>
        <row r="208">
          <cell r="A208">
            <v>42644</v>
          </cell>
          <cell r="B208">
            <v>99.503299999999996</v>
          </cell>
          <cell r="C208">
            <v>95.0976</v>
          </cell>
          <cell r="D208">
            <v>100.444</v>
          </cell>
          <cell r="E208">
            <v>93.876800000000003</v>
          </cell>
          <cell r="F208">
            <v>97.656000000000006</v>
          </cell>
          <cell r="G208">
            <v>100.7152</v>
          </cell>
          <cell r="H208">
            <v>101.9451</v>
          </cell>
          <cell r="I208">
            <v>96.773700000000005</v>
          </cell>
          <cell r="J208">
            <v>94.7256</v>
          </cell>
          <cell r="K208">
            <v>102.6279</v>
          </cell>
          <cell r="L208">
            <v>95.341800000000006</v>
          </cell>
        </row>
        <row r="209">
          <cell r="A209">
            <v>42675</v>
          </cell>
          <cell r="B209">
            <v>99.4315</v>
          </cell>
          <cell r="C209">
            <v>95.118499999999997</v>
          </cell>
          <cell r="D209">
            <v>98.514200000000002</v>
          </cell>
          <cell r="E209">
            <v>87.472099999999998</v>
          </cell>
          <cell r="F209">
            <v>98.221800000000002</v>
          </cell>
          <cell r="G209">
            <v>100.9769</v>
          </cell>
          <cell r="H209">
            <v>100.541</v>
          </cell>
          <cell r="I209">
            <v>97.812600000000003</v>
          </cell>
          <cell r="J209">
            <v>94.412599999999998</v>
          </cell>
          <cell r="K209">
            <v>100.2731</v>
          </cell>
          <cell r="L209">
            <v>96.087599999999995</v>
          </cell>
        </row>
        <row r="210">
          <cell r="A210">
            <v>42705</v>
          </cell>
          <cell r="B210">
            <v>99.461200000000005</v>
          </cell>
          <cell r="C210">
            <v>94.883799999999994</v>
          </cell>
          <cell r="D210">
            <v>102.3476</v>
          </cell>
          <cell r="E210">
            <v>109.26519999999999</v>
          </cell>
          <cell r="F210">
            <v>97.287700000000001</v>
          </cell>
          <cell r="G210">
            <v>100.9325</v>
          </cell>
          <cell r="H210">
            <v>99.203999999999994</v>
          </cell>
          <cell r="I210">
            <v>99.038899999999998</v>
          </cell>
          <cell r="J210">
            <v>95.907700000000006</v>
          </cell>
          <cell r="K210">
            <v>101.37439999999999</v>
          </cell>
          <cell r="L210">
            <v>96.826700000000002</v>
          </cell>
        </row>
        <row r="211">
          <cell r="A211">
            <v>42736</v>
          </cell>
          <cell r="B211">
            <v>99.628600000000006</v>
          </cell>
          <cell r="C211">
            <v>96.203100000000006</v>
          </cell>
          <cell r="D211">
            <v>98.399900000000002</v>
          </cell>
          <cell r="E211">
            <v>93.947100000000006</v>
          </cell>
          <cell r="F211">
            <v>98.231399999999994</v>
          </cell>
          <cell r="G211">
            <v>100.3146</v>
          </cell>
          <cell r="H211">
            <v>99.057500000000005</v>
          </cell>
          <cell r="I211">
            <v>100.24720000000001</v>
          </cell>
          <cell r="J211">
            <v>96.836600000000004</v>
          </cell>
          <cell r="K211">
            <v>101.23779999999999</v>
          </cell>
          <cell r="L211">
            <v>96.727199999999996</v>
          </cell>
        </row>
        <row r="212">
          <cell r="A212">
            <v>42767</v>
          </cell>
          <cell r="B212">
            <v>99.541499999999999</v>
          </cell>
          <cell r="C212">
            <v>97.613699999999994</v>
          </cell>
          <cell r="D212">
            <v>93.999200000000002</v>
          </cell>
          <cell r="E212">
            <v>85.990600000000001</v>
          </cell>
          <cell r="F212">
            <v>98.3613</v>
          </cell>
          <cell r="G212">
            <v>99.628200000000007</v>
          </cell>
          <cell r="H212">
            <v>100.3793</v>
          </cell>
          <cell r="I212">
            <v>100.4823</v>
          </cell>
          <cell r="J212">
            <v>95.929900000000004</v>
          </cell>
          <cell r="K212">
            <v>101.0882</v>
          </cell>
          <cell r="L212">
            <v>97.198099999999997</v>
          </cell>
        </row>
        <row r="213">
          <cell r="A213">
            <v>42795</v>
          </cell>
          <cell r="B213">
            <v>99.180199999999999</v>
          </cell>
          <cell r="C213">
            <v>98.652500000000003</v>
          </cell>
          <cell r="D213">
            <v>100.532</v>
          </cell>
          <cell r="E213">
            <v>96.432000000000002</v>
          </cell>
          <cell r="F213">
            <v>98.906400000000005</v>
          </cell>
          <cell r="G213">
            <v>100.1322</v>
          </cell>
          <cell r="H213">
            <v>98.597300000000004</v>
          </cell>
          <cell r="I213">
            <v>99.584599999999995</v>
          </cell>
          <cell r="J213">
            <v>97.046099999999996</v>
          </cell>
          <cell r="K213">
            <v>98.475300000000004</v>
          </cell>
          <cell r="L213">
            <v>97.290499999999994</v>
          </cell>
        </row>
        <row r="214">
          <cell r="A214">
            <v>42826</v>
          </cell>
          <cell r="B214">
            <v>100.2753</v>
          </cell>
          <cell r="C214">
            <v>99.825800000000001</v>
          </cell>
          <cell r="D214">
            <v>100.89579999999999</v>
          </cell>
          <cell r="E214">
            <v>91.996200000000002</v>
          </cell>
          <cell r="F214">
            <v>101.384</v>
          </cell>
          <cell r="G214">
            <v>100.4007</v>
          </cell>
          <cell r="H214">
            <v>99.339200000000005</v>
          </cell>
          <cell r="I214">
            <v>99.543099999999995</v>
          </cell>
          <cell r="J214">
            <v>100.0307</v>
          </cell>
          <cell r="K214">
            <v>103.3019</v>
          </cell>
          <cell r="L214">
            <v>98.541899999999998</v>
          </cell>
        </row>
        <row r="215">
          <cell r="A215">
            <v>42856</v>
          </cell>
          <cell r="B215">
            <v>100.1347</v>
          </cell>
          <cell r="C215">
            <v>100.2527</v>
          </cell>
          <cell r="D215">
            <v>100.3648</v>
          </cell>
          <cell r="E215">
            <v>103.0194</v>
          </cell>
          <cell r="F215">
            <v>102.5313</v>
          </cell>
          <cell r="G215">
            <v>101.0141</v>
          </cell>
          <cell r="H215">
            <v>98.841399999999993</v>
          </cell>
          <cell r="I215">
            <v>97.644400000000005</v>
          </cell>
          <cell r="J215">
            <v>100.4704</v>
          </cell>
          <cell r="K215">
            <v>102.0386</v>
          </cell>
          <cell r="L215">
            <v>99.615300000000005</v>
          </cell>
        </row>
        <row r="216">
          <cell r="A216">
            <v>42887</v>
          </cell>
          <cell r="B216">
            <v>100.18389999999999</v>
          </cell>
          <cell r="C216">
            <v>101.1835</v>
          </cell>
          <cell r="D216">
            <v>100.53</v>
          </cell>
          <cell r="E216">
            <v>102.6022</v>
          </cell>
          <cell r="F216">
            <v>102.4333</v>
          </cell>
          <cell r="G216">
            <v>101.3391</v>
          </cell>
          <cell r="H216">
            <v>99.638800000000003</v>
          </cell>
          <cell r="I216">
            <v>99.015799999999999</v>
          </cell>
          <cell r="J216">
            <v>101.0325</v>
          </cell>
          <cell r="K216">
            <v>100.6802</v>
          </cell>
          <cell r="L216">
            <v>100.0925</v>
          </cell>
        </row>
        <row r="217">
          <cell r="A217">
            <v>42917</v>
          </cell>
          <cell r="B217">
            <v>99.808000000000007</v>
          </cell>
          <cell r="C217">
            <v>101.15989999999999</v>
          </cell>
          <cell r="D217">
            <v>101.2843</v>
          </cell>
          <cell r="E217">
            <v>102.3468</v>
          </cell>
          <cell r="F217">
            <v>100.49509999999999</v>
          </cell>
          <cell r="G217">
            <v>101.7235</v>
          </cell>
          <cell r="H217">
            <v>99.909899999999993</v>
          </cell>
          <cell r="I217">
            <v>99.095200000000006</v>
          </cell>
          <cell r="J217">
            <v>100.2182</v>
          </cell>
          <cell r="K217">
            <v>95.684700000000007</v>
          </cell>
          <cell r="L217">
            <v>99.999499999999998</v>
          </cell>
        </row>
        <row r="218">
          <cell r="A218">
            <v>42948</v>
          </cell>
          <cell r="B218">
            <v>99.614000000000004</v>
          </cell>
          <cell r="C218">
            <v>99.503100000000003</v>
          </cell>
          <cell r="D218">
            <v>99.127399999999994</v>
          </cell>
          <cell r="E218">
            <v>103.1819</v>
          </cell>
          <cell r="F218">
            <v>99.740300000000005</v>
          </cell>
          <cell r="G218">
            <v>98.466999999999999</v>
          </cell>
          <cell r="H218">
            <v>99.470200000000006</v>
          </cell>
          <cell r="I218">
            <v>99.981300000000005</v>
          </cell>
          <cell r="J218">
            <v>98.574200000000005</v>
          </cell>
          <cell r="K218">
            <v>97.917599999999993</v>
          </cell>
          <cell r="L218">
            <v>101.48699999999999</v>
          </cell>
        </row>
        <row r="219">
          <cell r="A219">
            <v>42979</v>
          </cell>
          <cell r="B219">
            <v>99.637100000000004</v>
          </cell>
          <cell r="C219">
            <v>98.6</v>
          </cell>
          <cell r="D219">
            <v>98.552000000000007</v>
          </cell>
          <cell r="E219">
            <v>103.8323</v>
          </cell>
          <cell r="F219">
            <v>96.3005</v>
          </cell>
          <cell r="G219">
            <v>96.580299999999994</v>
          </cell>
          <cell r="H219">
            <v>100.8904</v>
          </cell>
          <cell r="I219">
            <v>101.8862</v>
          </cell>
          <cell r="J219">
            <v>101.30289999999999</v>
          </cell>
          <cell r="K219">
            <v>99.336699999999993</v>
          </cell>
          <cell r="L219">
            <v>101.82559999999999</v>
          </cell>
        </row>
        <row r="220">
          <cell r="A220">
            <v>43009</v>
          </cell>
          <cell r="B220">
            <v>100.69029999999999</v>
          </cell>
          <cell r="C220">
            <v>101.31310000000001</v>
          </cell>
          <cell r="D220">
            <v>101.6773</v>
          </cell>
          <cell r="E220">
            <v>100.0635</v>
          </cell>
          <cell r="F220">
            <v>101.13760000000001</v>
          </cell>
          <cell r="G220">
            <v>100.5194</v>
          </cell>
          <cell r="H220">
            <v>100.25020000000001</v>
          </cell>
          <cell r="I220">
            <v>101.3293</v>
          </cell>
          <cell r="J220">
            <v>101.9639</v>
          </cell>
          <cell r="K220">
            <v>100.8081</v>
          </cell>
          <cell r="L220">
            <v>101.95959999999999</v>
          </cell>
        </row>
        <row r="221">
          <cell r="A221">
            <v>43040</v>
          </cell>
          <cell r="B221">
            <v>100.7735</v>
          </cell>
          <cell r="C221">
            <v>102.9177</v>
          </cell>
          <cell r="D221">
            <v>101.3366</v>
          </cell>
          <cell r="E221">
            <v>101.7278</v>
          </cell>
          <cell r="F221">
            <v>100.4209</v>
          </cell>
          <cell r="G221">
            <v>100.2812</v>
          </cell>
          <cell r="H221">
            <v>102.11539999999999</v>
          </cell>
          <cell r="I221">
            <v>101.3058</v>
          </cell>
          <cell r="J221">
            <v>103.07340000000001</v>
          </cell>
          <cell r="K221">
            <v>99.208399999999997</v>
          </cell>
          <cell r="L221">
            <v>102.8266</v>
          </cell>
        </row>
        <row r="222">
          <cell r="A222">
            <v>43070</v>
          </cell>
          <cell r="B222">
            <v>100.5329</v>
          </cell>
          <cell r="C222">
            <v>102.7747</v>
          </cell>
          <cell r="D222">
            <v>103.3008</v>
          </cell>
          <cell r="E222">
            <v>114.8601</v>
          </cell>
          <cell r="F222">
            <v>100.0579</v>
          </cell>
          <cell r="G222">
            <v>99.599500000000006</v>
          </cell>
          <cell r="H222">
            <v>101.5103</v>
          </cell>
          <cell r="I222">
            <v>99.884799999999998</v>
          </cell>
          <cell r="J222">
            <v>103.5211</v>
          </cell>
          <cell r="K222">
            <v>100.22239999999999</v>
          </cell>
          <cell r="L222">
            <v>102.4363</v>
          </cell>
        </row>
        <row r="223">
          <cell r="A223">
            <v>43101</v>
          </cell>
          <cell r="B223">
            <v>100.11620000000001</v>
          </cell>
          <cell r="C223">
            <v>101.94289999999999</v>
          </cell>
          <cell r="D223">
            <v>106.9375</v>
          </cell>
          <cell r="E223">
            <v>112.1155</v>
          </cell>
          <cell r="F223">
            <v>98.906700000000001</v>
          </cell>
          <cell r="G223">
            <v>98.093999999999994</v>
          </cell>
          <cell r="H223">
            <v>100.9418</v>
          </cell>
          <cell r="I223">
            <v>101.0311</v>
          </cell>
          <cell r="J223">
            <v>102.25409999999999</v>
          </cell>
          <cell r="K223">
            <v>101.3308</v>
          </cell>
          <cell r="L223">
            <v>102.29519999999999</v>
          </cell>
        </row>
        <row r="224">
          <cell r="A224">
            <v>43132</v>
          </cell>
          <cell r="B224">
            <v>101.1392</v>
          </cell>
          <cell r="C224">
            <v>104.13330000000001</v>
          </cell>
          <cell r="D224">
            <v>100.1566</v>
          </cell>
          <cell r="E224">
            <v>102.9705</v>
          </cell>
          <cell r="F224">
            <v>98.219200000000001</v>
          </cell>
          <cell r="G224">
            <v>98.407799999999995</v>
          </cell>
          <cell r="H224">
            <v>102.221</v>
          </cell>
          <cell r="I224">
            <v>102.3685</v>
          </cell>
          <cell r="J224">
            <v>102.467</v>
          </cell>
          <cell r="K224">
            <v>104.3952</v>
          </cell>
          <cell r="L224">
            <v>102.2843</v>
          </cell>
        </row>
        <row r="225">
          <cell r="A225">
            <v>43160</v>
          </cell>
          <cell r="B225">
            <v>101.03270000000001</v>
          </cell>
          <cell r="C225">
            <v>105.7928</v>
          </cell>
          <cell r="D225">
            <v>102.6211</v>
          </cell>
          <cell r="E225">
            <v>110.9465</v>
          </cell>
          <cell r="F225">
            <v>98.3035</v>
          </cell>
          <cell r="G225">
            <v>98.551900000000003</v>
          </cell>
          <cell r="H225">
            <v>102.51900000000001</v>
          </cell>
          <cell r="I225">
            <v>103.60120000000001</v>
          </cell>
          <cell r="J225">
            <v>102.1627</v>
          </cell>
          <cell r="K225">
            <v>107.1147</v>
          </cell>
          <cell r="L225">
            <v>101.8869</v>
          </cell>
        </row>
        <row r="226">
          <cell r="A226">
            <v>43191</v>
          </cell>
          <cell r="B226">
            <v>101.7144</v>
          </cell>
          <cell r="C226">
            <v>106.4449</v>
          </cell>
          <cell r="D226">
            <v>103.6768</v>
          </cell>
          <cell r="E226">
            <v>133.7912</v>
          </cell>
          <cell r="F226">
            <v>98.729299999999995</v>
          </cell>
          <cell r="G226">
            <v>98.926199999999994</v>
          </cell>
          <cell r="H226">
            <v>102.7384</v>
          </cell>
          <cell r="I226">
            <v>102.8907</v>
          </cell>
          <cell r="J226">
            <v>104.44759999999999</v>
          </cell>
          <cell r="K226">
            <v>106.8809</v>
          </cell>
          <cell r="L226">
            <v>102.9551</v>
          </cell>
        </row>
        <row r="227">
          <cell r="A227">
            <v>43221</v>
          </cell>
          <cell r="B227">
            <v>100.8395</v>
          </cell>
          <cell r="C227">
            <v>107.166</v>
          </cell>
          <cell r="D227">
            <v>105.33839999999999</v>
          </cell>
          <cell r="E227">
            <v>97.467799999999997</v>
          </cell>
          <cell r="F227">
            <v>98.982200000000006</v>
          </cell>
          <cell r="G227">
            <v>98.615200000000002</v>
          </cell>
          <cell r="H227">
            <v>102.1009</v>
          </cell>
          <cell r="I227">
            <v>103.37179999999999</v>
          </cell>
          <cell r="J227">
            <v>103.68040000000001</v>
          </cell>
          <cell r="K227">
            <v>98.456199999999995</v>
          </cell>
          <cell r="L227">
            <v>101.8952</v>
          </cell>
        </row>
        <row r="228">
          <cell r="A228">
            <v>43252</v>
          </cell>
          <cell r="B228">
            <v>101.4846</v>
          </cell>
          <cell r="C228">
            <v>109.15300000000001</v>
          </cell>
          <cell r="D228">
            <v>104.0294</v>
          </cell>
          <cell r="E228">
            <v>105.6095</v>
          </cell>
          <cell r="F228">
            <v>99.186599999999999</v>
          </cell>
          <cell r="G228">
            <v>98.860200000000006</v>
          </cell>
          <cell r="H228">
            <v>102.2205</v>
          </cell>
          <cell r="I228">
            <v>103.4736</v>
          </cell>
          <cell r="J228">
            <v>104.0981</v>
          </cell>
          <cell r="K228">
            <v>104.3912</v>
          </cell>
          <cell r="L228">
            <v>101.9674</v>
          </cell>
        </row>
        <row r="229">
          <cell r="A229">
            <v>43282</v>
          </cell>
          <cell r="B229">
            <v>101.5187</v>
          </cell>
          <cell r="C229">
            <v>110.5311</v>
          </cell>
          <cell r="D229">
            <v>102.9718</v>
          </cell>
          <cell r="E229">
            <v>107.4769</v>
          </cell>
          <cell r="F229">
            <v>99.863399999999999</v>
          </cell>
          <cell r="G229">
            <v>99.485399999999998</v>
          </cell>
          <cell r="H229">
            <v>103.8712</v>
          </cell>
          <cell r="I229">
            <v>102.5723</v>
          </cell>
          <cell r="J229">
            <v>104.761</v>
          </cell>
          <cell r="K229">
            <v>99.258799999999994</v>
          </cell>
          <cell r="L229">
            <v>100.05500000000001</v>
          </cell>
        </row>
        <row r="230">
          <cell r="A230">
            <v>43313</v>
          </cell>
          <cell r="B230">
            <v>101.8438</v>
          </cell>
          <cell r="C230">
            <v>112.3292</v>
          </cell>
          <cell r="D230">
            <v>104.1497</v>
          </cell>
          <cell r="E230">
            <v>107.66630000000001</v>
          </cell>
          <cell r="F230">
            <v>100.87649999999999</v>
          </cell>
          <cell r="G230">
            <v>98.422300000000007</v>
          </cell>
          <cell r="H230">
            <v>103.1656</v>
          </cell>
          <cell r="I230">
            <v>103.4579</v>
          </cell>
          <cell r="J230">
            <v>105.9221</v>
          </cell>
          <cell r="K230">
            <v>104.0565</v>
          </cell>
          <cell r="L230">
            <v>99.592100000000002</v>
          </cell>
        </row>
        <row r="231">
          <cell r="A231">
            <v>43344</v>
          </cell>
          <cell r="B231">
            <v>101.8535</v>
          </cell>
          <cell r="C231">
            <v>112.77589999999999</v>
          </cell>
          <cell r="D231">
            <v>103.57550000000001</v>
          </cell>
          <cell r="E231">
            <v>109.726</v>
          </cell>
          <cell r="F231">
            <v>101.36879999999999</v>
          </cell>
          <cell r="G231">
            <v>98.322599999999994</v>
          </cell>
          <cell r="H231">
            <v>103.9336</v>
          </cell>
          <cell r="I231">
            <v>104.2936</v>
          </cell>
          <cell r="J231">
            <v>105.97969999999999</v>
          </cell>
          <cell r="K231">
            <v>106.6427</v>
          </cell>
          <cell r="L231">
            <v>98.4298</v>
          </cell>
        </row>
        <row r="232">
          <cell r="A232">
            <v>43374</v>
          </cell>
          <cell r="B232">
            <v>101.3708</v>
          </cell>
          <cell r="C232">
            <v>112.27330000000001</v>
          </cell>
          <cell r="D232">
            <v>103.8755</v>
          </cell>
          <cell r="E232">
            <v>121.2762</v>
          </cell>
          <cell r="F232">
            <v>101.2979</v>
          </cell>
          <cell r="G232">
            <v>98.121200000000002</v>
          </cell>
          <cell r="H232">
            <v>103.45</v>
          </cell>
          <cell r="I232">
            <v>104.2847</v>
          </cell>
          <cell r="J232">
            <v>106.0746</v>
          </cell>
          <cell r="K232">
            <v>104.3985</v>
          </cell>
          <cell r="L232">
            <v>96.4298</v>
          </cell>
        </row>
        <row r="233">
          <cell r="A233">
            <v>43405</v>
          </cell>
          <cell r="B233">
            <v>101.10299999999999</v>
          </cell>
          <cell r="C233">
            <v>112.7422</v>
          </cell>
          <cell r="D233">
            <v>105.1397</v>
          </cell>
          <cell r="E233">
            <v>125.976</v>
          </cell>
          <cell r="F233">
            <v>100.7514</v>
          </cell>
          <cell r="G233">
            <v>98.928100000000001</v>
          </cell>
          <cell r="H233">
            <v>103.9131</v>
          </cell>
          <cell r="I233">
            <v>104.0878</v>
          </cell>
          <cell r="J233">
            <v>108.04940000000001</v>
          </cell>
          <cell r="K233">
            <v>103.53959999999999</v>
          </cell>
          <cell r="L233">
            <v>94.797700000000006</v>
          </cell>
        </row>
        <row r="234">
          <cell r="A234">
            <v>43435</v>
          </cell>
          <cell r="B234">
            <v>101.4194</v>
          </cell>
          <cell r="C234">
            <v>114.17959999999999</v>
          </cell>
          <cell r="D234">
            <v>101.9738</v>
          </cell>
          <cell r="E234">
            <v>110.78440000000001</v>
          </cell>
          <cell r="F234">
            <v>102.1232</v>
          </cell>
          <cell r="G234">
            <v>98.691400000000002</v>
          </cell>
          <cell r="H234">
            <v>104.6934</v>
          </cell>
          <cell r="I234">
            <v>102.7774</v>
          </cell>
          <cell r="J234">
            <v>105.0497</v>
          </cell>
          <cell r="K234">
            <v>109.23609999999999</v>
          </cell>
          <cell r="L234">
            <v>94.727599999999995</v>
          </cell>
        </row>
        <row r="235">
          <cell r="A235">
            <v>43466</v>
          </cell>
          <cell r="B235">
            <v>100.5406</v>
          </cell>
          <cell r="C235">
            <v>113.53570000000001</v>
          </cell>
          <cell r="D235">
            <v>102.7735</v>
          </cell>
          <cell r="E235">
            <v>115.2393</v>
          </cell>
          <cell r="F235">
            <v>102.8569</v>
          </cell>
          <cell r="G235">
            <v>97.9512</v>
          </cell>
          <cell r="H235">
            <v>103.7042</v>
          </cell>
          <cell r="I235">
            <v>99.5518</v>
          </cell>
          <cell r="J235">
            <v>105.2681</v>
          </cell>
          <cell r="K235">
            <v>100.9233</v>
          </cell>
          <cell r="L235">
            <v>93.261799999999994</v>
          </cell>
        </row>
        <row r="236">
          <cell r="A236">
            <v>43497</v>
          </cell>
          <cell r="B236">
            <v>100.0431</v>
          </cell>
          <cell r="C236">
            <v>112.0642</v>
          </cell>
          <cell r="D236">
            <v>102.6562</v>
          </cell>
          <cell r="E236">
            <v>119.7701</v>
          </cell>
          <cell r="F236">
            <v>99.279499999999999</v>
          </cell>
          <cell r="G236">
            <v>98.089200000000005</v>
          </cell>
          <cell r="H236">
            <v>102.8271</v>
          </cell>
          <cell r="I236">
            <v>98.318799999999996</v>
          </cell>
          <cell r="J236">
            <v>104.09569999999999</v>
          </cell>
          <cell r="K236">
            <v>103.0561</v>
          </cell>
          <cell r="L236">
            <v>92.947999999999993</v>
          </cell>
        </row>
        <row r="237">
          <cell r="A237">
            <v>43525</v>
          </cell>
          <cell r="B237">
            <v>99.734099999999998</v>
          </cell>
          <cell r="C237">
            <v>111.91800000000001</v>
          </cell>
          <cell r="D237">
            <v>104.8429</v>
          </cell>
          <cell r="E237">
            <v>119.41</v>
          </cell>
          <cell r="F237">
            <v>100.5514</v>
          </cell>
          <cell r="G237">
            <v>98.003100000000003</v>
          </cell>
          <cell r="H237">
            <v>102.0932</v>
          </cell>
          <cell r="I237">
            <v>98.552599999999998</v>
          </cell>
          <cell r="J237">
            <v>104.11539999999999</v>
          </cell>
          <cell r="K237">
            <v>102.18680000000001</v>
          </cell>
          <cell r="L237">
            <v>92.190799999999996</v>
          </cell>
        </row>
        <row r="238">
          <cell r="A238">
            <v>43556</v>
          </cell>
          <cell r="B238">
            <v>99.130499999999998</v>
          </cell>
          <cell r="C238">
            <v>113.6587</v>
          </cell>
          <cell r="D238">
            <v>101.8073</v>
          </cell>
          <cell r="E238">
            <v>109.5528</v>
          </cell>
          <cell r="F238">
            <v>100.3289</v>
          </cell>
          <cell r="G238">
            <v>97.301100000000005</v>
          </cell>
          <cell r="H238">
            <v>100.66079999999999</v>
          </cell>
          <cell r="I238">
            <v>98.693200000000004</v>
          </cell>
          <cell r="J238">
            <v>101.4329</v>
          </cell>
          <cell r="K238">
            <v>102.1245</v>
          </cell>
          <cell r="L238">
            <v>90.692899999999995</v>
          </cell>
        </row>
        <row r="239">
          <cell r="A239">
            <v>43586</v>
          </cell>
          <cell r="B239">
            <v>99.178399999999996</v>
          </cell>
          <cell r="C239">
            <v>113.43089999999999</v>
          </cell>
          <cell r="D239">
            <v>102.6331</v>
          </cell>
          <cell r="E239">
            <v>113.5368</v>
          </cell>
          <cell r="F239">
            <v>100.7741</v>
          </cell>
          <cell r="G239">
            <v>96.430300000000003</v>
          </cell>
          <cell r="H239">
            <v>101.7435</v>
          </cell>
          <cell r="I239">
            <v>97.582099999999997</v>
          </cell>
          <cell r="J239">
            <v>103.2146</v>
          </cell>
          <cell r="K239">
            <v>103.6707</v>
          </cell>
          <cell r="L239">
            <v>88.914500000000004</v>
          </cell>
        </row>
        <row r="240">
          <cell r="A240">
            <v>43617</v>
          </cell>
          <cell r="B240">
            <v>99.600800000000007</v>
          </cell>
          <cell r="C240">
            <v>113.6011</v>
          </cell>
          <cell r="D240">
            <v>98.918000000000006</v>
          </cell>
          <cell r="E240">
            <v>112.31</v>
          </cell>
          <cell r="F240">
            <v>101.44029999999999</v>
          </cell>
          <cell r="G240">
            <v>96.242800000000003</v>
          </cell>
          <cell r="H240">
            <v>102.31740000000001</v>
          </cell>
          <cell r="I240">
            <v>95.691400000000002</v>
          </cell>
          <cell r="J240">
            <v>102.1726</v>
          </cell>
          <cell r="K240">
            <v>107.1413</v>
          </cell>
          <cell r="L240">
            <v>89.417299999999997</v>
          </cell>
        </row>
        <row r="241">
          <cell r="A241">
            <v>43647</v>
          </cell>
          <cell r="B241">
            <v>98.919700000000006</v>
          </cell>
          <cell r="C241">
            <v>111.7469</v>
          </cell>
          <cell r="D241">
            <v>102.6395</v>
          </cell>
          <cell r="E241">
            <v>111.85599999999999</v>
          </cell>
          <cell r="F241">
            <v>102.1131</v>
          </cell>
          <cell r="G241">
            <v>96.994900000000001</v>
          </cell>
          <cell r="H241">
            <v>99.653599999999997</v>
          </cell>
          <cell r="I241">
            <v>95.6374</v>
          </cell>
          <cell r="J241">
            <v>100.2213</v>
          </cell>
          <cell r="K241">
            <v>103.979</v>
          </cell>
          <cell r="L241">
            <v>89.660700000000006</v>
          </cell>
        </row>
        <row r="242">
          <cell r="A242">
            <v>43678</v>
          </cell>
          <cell r="B242">
            <v>99.575800000000001</v>
          </cell>
          <cell r="C242">
            <v>114.2878</v>
          </cell>
          <cell r="D242">
            <v>101.9975</v>
          </cell>
          <cell r="E242">
            <v>110.0544</v>
          </cell>
          <cell r="F242">
            <v>102.1018</v>
          </cell>
          <cell r="G242">
            <v>97.765699999999995</v>
          </cell>
          <cell r="H242">
            <v>100.81229999999999</v>
          </cell>
          <cell r="I242">
            <v>97.721800000000002</v>
          </cell>
          <cell r="J242">
            <v>101.80670000000001</v>
          </cell>
          <cell r="K242">
            <v>105.1943</v>
          </cell>
          <cell r="L242">
            <v>90.206999999999994</v>
          </cell>
        </row>
        <row r="243">
          <cell r="A243">
            <v>43709</v>
          </cell>
          <cell r="B243">
            <v>98.931100000000001</v>
          </cell>
          <cell r="C243">
            <v>115.0372</v>
          </cell>
          <cell r="D243">
            <v>104.7552</v>
          </cell>
          <cell r="E243">
            <v>107.7415</v>
          </cell>
          <cell r="F243">
            <v>100.3219</v>
          </cell>
          <cell r="G243">
            <v>97.5625</v>
          </cell>
          <cell r="H243">
            <v>99.787800000000004</v>
          </cell>
          <cell r="I243">
            <v>97.379000000000005</v>
          </cell>
          <cell r="J243">
            <v>99.336500000000001</v>
          </cell>
          <cell r="K243">
            <v>100.02979999999999</v>
          </cell>
          <cell r="L243">
            <v>91.161699999999996</v>
          </cell>
        </row>
        <row r="244">
          <cell r="A244">
            <v>43739</v>
          </cell>
          <cell r="B244">
            <v>98.004199999999997</v>
          </cell>
          <cell r="C244">
            <v>114.45440000000001</v>
          </cell>
          <cell r="D244">
            <v>103.1109</v>
          </cell>
          <cell r="E244">
            <v>111.23050000000001</v>
          </cell>
          <cell r="F244">
            <v>97.696100000000001</v>
          </cell>
          <cell r="G244">
            <v>97.367900000000006</v>
          </cell>
          <cell r="H244">
            <v>99.063699999999997</v>
          </cell>
          <cell r="I244">
            <v>95.325599999999994</v>
          </cell>
          <cell r="J244">
            <v>98.348799999999997</v>
          </cell>
          <cell r="K244">
            <v>93.512299999999996</v>
          </cell>
          <cell r="L244">
            <v>92.390900000000002</v>
          </cell>
        </row>
        <row r="245">
          <cell r="A245">
            <v>43770</v>
          </cell>
          <cell r="B245">
            <v>98.856300000000005</v>
          </cell>
          <cell r="C245">
            <v>112.57899999999999</v>
          </cell>
          <cell r="D245">
            <v>103.1514</v>
          </cell>
          <cell r="E245">
            <v>122.39879999999999</v>
          </cell>
          <cell r="F245">
            <v>95.692599999999999</v>
          </cell>
          <cell r="G245">
            <v>96.835099999999997</v>
          </cell>
          <cell r="H245">
            <v>100.2418</v>
          </cell>
          <cell r="I245">
            <v>95.679000000000002</v>
          </cell>
          <cell r="J245">
            <v>98.873599999999996</v>
          </cell>
          <cell r="K245">
            <v>104.83240000000001</v>
          </cell>
          <cell r="L245">
            <v>92.675200000000004</v>
          </cell>
        </row>
        <row r="246">
          <cell r="A246">
            <v>43800</v>
          </cell>
          <cell r="B246">
            <v>98.963099999999997</v>
          </cell>
          <cell r="C246">
            <v>112.6075</v>
          </cell>
          <cell r="D246">
            <v>101.00960000000001</v>
          </cell>
          <cell r="E246">
            <v>109.55719999999999</v>
          </cell>
          <cell r="F246">
            <v>95.255399999999995</v>
          </cell>
          <cell r="G246">
            <v>96.370699999999999</v>
          </cell>
          <cell r="H246">
            <v>100.4581</v>
          </cell>
          <cell r="I246">
            <v>97.848200000000006</v>
          </cell>
          <cell r="J246">
            <v>99.189899999999994</v>
          </cell>
          <cell r="K246">
            <v>101.2422</v>
          </cell>
          <cell r="L246">
            <v>92.425700000000006</v>
          </cell>
        </row>
        <row r="247">
          <cell r="A247">
            <v>43831</v>
          </cell>
          <cell r="B247">
            <v>98.761600000000001</v>
          </cell>
          <cell r="C247">
            <v>112.46550000000001</v>
          </cell>
          <cell r="D247">
            <v>98.596500000000006</v>
          </cell>
          <cell r="E247">
            <v>101.84399999999999</v>
          </cell>
          <cell r="F247">
            <v>95.282700000000006</v>
          </cell>
          <cell r="G247">
            <v>96.747200000000007</v>
          </cell>
          <cell r="H247">
            <v>101.6939</v>
          </cell>
          <cell r="I247">
            <v>98.788200000000003</v>
          </cell>
          <cell r="J247">
            <v>98.139799999999994</v>
          </cell>
          <cell r="K247">
            <v>103.129</v>
          </cell>
          <cell r="L247">
            <v>83.289900000000003</v>
          </cell>
        </row>
        <row r="248">
          <cell r="A248">
            <v>43862</v>
          </cell>
          <cell r="B248">
            <v>98.939599999999999</v>
          </cell>
          <cell r="C248">
            <v>111.938</v>
          </cell>
          <cell r="D248">
            <v>100.5291</v>
          </cell>
          <cell r="E248">
            <v>108.9258</v>
          </cell>
          <cell r="F248">
            <v>93.431899999999999</v>
          </cell>
          <cell r="G248">
            <v>96.747699999999995</v>
          </cell>
          <cell r="H248">
            <v>102.4517</v>
          </cell>
          <cell r="I248">
            <v>96.186700000000002</v>
          </cell>
          <cell r="J248">
            <v>98.508099999999999</v>
          </cell>
          <cell r="K248">
            <v>108.0949</v>
          </cell>
          <cell r="L248">
            <v>80.418899999999994</v>
          </cell>
        </row>
        <row r="249">
          <cell r="A249">
            <v>43891</v>
          </cell>
          <cell r="B249">
            <v>94.358999999999995</v>
          </cell>
          <cell r="C249">
            <v>111.5868</v>
          </cell>
          <cell r="D249">
            <v>99.831599999999995</v>
          </cell>
          <cell r="E249">
            <v>95.876999999999995</v>
          </cell>
          <cell r="F249">
            <v>87.728700000000003</v>
          </cell>
          <cell r="G249">
            <v>98.317400000000006</v>
          </cell>
          <cell r="H249">
            <v>96.356200000000001</v>
          </cell>
          <cell r="I249">
            <v>94.042199999999994</v>
          </cell>
          <cell r="J249">
            <v>95.278099999999995</v>
          </cell>
          <cell r="K249">
            <v>76.723200000000006</v>
          </cell>
          <cell r="L249">
            <v>77.433700000000002</v>
          </cell>
        </row>
        <row r="250">
          <cell r="A250">
            <v>43922</v>
          </cell>
          <cell r="B250">
            <v>79.7607</v>
          </cell>
          <cell r="C250">
            <v>97.906999999999996</v>
          </cell>
          <cell r="D250">
            <v>98.598799999999997</v>
          </cell>
          <cell r="E250">
            <v>112.111</v>
          </cell>
          <cell r="F250">
            <v>70.412999999999997</v>
          </cell>
          <cell r="G250">
            <v>92.205799999999996</v>
          </cell>
          <cell r="H250">
            <v>78.502499999999998</v>
          </cell>
          <cell r="I250">
            <v>73.728899999999996</v>
          </cell>
          <cell r="J250">
            <v>77.359399999999994</v>
          </cell>
          <cell r="K250">
            <v>20.4879</v>
          </cell>
          <cell r="L250">
            <v>60.307699999999997</v>
          </cell>
        </row>
        <row r="251">
          <cell r="A251">
            <v>43952</v>
          </cell>
          <cell r="B251">
            <v>83.2547</v>
          </cell>
          <cell r="C251">
            <v>88.8476</v>
          </cell>
          <cell r="D251">
            <v>96.346900000000005</v>
          </cell>
          <cell r="E251">
            <v>112.09520000000001</v>
          </cell>
          <cell r="F251">
            <v>69.413600000000002</v>
          </cell>
          <cell r="G251">
            <v>92.058700000000002</v>
          </cell>
          <cell r="H251">
            <v>82.388499999999993</v>
          </cell>
          <cell r="I251">
            <v>71.149299999999997</v>
          </cell>
          <cell r="J251">
            <v>82.142899999999997</v>
          </cell>
          <cell r="K251">
            <v>39.414000000000001</v>
          </cell>
          <cell r="L251">
            <v>68.374099999999999</v>
          </cell>
        </row>
        <row r="252">
          <cell r="A252">
            <v>43983</v>
          </cell>
          <cell r="B252">
            <v>89.677499999999995</v>
          </cell>
          <cell r="C252">
            <v>90.825400000000002</v>
          </cell>
          <cell r="D252">
            <v>99.113799999999998</v>
          </cell>
          <cell r="E252">
            <v>108.76909999999999</v>
          </cell>
          <cell r="F252">
            <v>70.460499999999996</v>
          </cell>
          <cell r="G252">
            <v>92.601600000000005</v>
          </cell>
          <cell r="H252">
            <v>91.201099999999997</v>
          </cell>
          <cell r="I252">
            <v>75.783699999999996</v>
          </cell>
          <cell r="J252">
            <v>86.659000000000006</v>
          </cell>
          <cell r="K252">
            <v>85.637900000000002</v>
          </cell>
          <cell r="L252">
            <v>70.108400000000003</v>
          </cell>
        </row>
        <row r="253">
          <cell r="A253">
            <v>44013</v>
          </cell>
          <cell r="B253">
            <v>92.885400000000004</v>
          </cell>
          <cell r="C253">
            <v>94.037199999999999</v>
          </cell>
          <cell r="D253">
            <v>103.68899999999999</v>
          </cell>
          <cell r="E253">
            <v>109.20359999999999</v>
          </cell>
          <cell r="F253">
            <v>74.600099999999998</v>
          </cell>
          <cell r="G253">
            <v>94.207599999999999</v>
          </cell>
          <cell r="H253">
            <v>94.075400000000002</v>
          </cell>
          <cell r="I253">
            <v>79.918499999999995</v>
          </cell>
          <cell r="J253">
            <v>89.181600000000003</v>
          </cell>
          <cell r="K253">
            <v>108.0397</v>
          </cell>
          <cell r="L253">
            <v>73.196399999999997</v>
          </cell>
        </row>
        <row r="254">
          <cell r="A254">
            <v>44044</v>
          </cell>
          <cell r="B254">
            <v>94.266199999999998</v>
          </cell>
          <cell r="C254">
            <v>94.874200000000002</v>
          </cell>
          <cell r="D254">
            <v>101.4567</v>
          </cell>
          <cell r="E254">
            <v>107.5827</v>
          </cell>
          <cell r="F254">
            <v>74.141599999999997</v>
          </cell>
          <cell r="G254">
            <v>95.3553</v>
          </cell>
          <cell r="H254">
            <v>97.573400000000007</v>
          </cell>
          <cell r="I254">
            <v>84.765799999999999</v>
          </cell>
          <cell r="J254">
            <v>91.383499999999998</v>
          </cell>
          <cell r="K254">
            <v>105.08410000000001</v>
          </cell>
          <cell r="L254">
            <v>76.912899999999993</v>
          </cell>
        </row>
        <row r="255">
          <cell r="A255">
            <v>44075</v>
          </cell>
          <cell r="B255">
            <v>94.297899999999998</v>
          </cell>
          <cell r="C255">
            <v>96.125299999999996</v>
          </cell>
          <cell r="D255">
            <v>99.504499999999993</v>
          </cell>
          <cell r="E255">
            <v>111.06959999999999</v>
          </cell>
          <cell r="F255">
            <v>74.148799999999994</v>
          </cell>
          <cell r="G255">
            <v>95.411000000000001</v>
          </cell>
          <cell r="H255">
            <v>98.306600000000003</v>
          </cell>
          <cell r="I255">
            <v>89.101600000000005</v>
          </cell>
          <cell r="J255">
            <v>92.071700000000007</v>
          </cell>
          <cell r="K255">
            <v>102.6949</v>
          </cell>
          <cell r="L255">
            <v>78.049099999999996</v>
          </cell>
        </row>
        <row r="256">
          <cell r="A256">
            <v>44105</v>
          </cell>
          <cell r="B256">
            <v>95.069800000000001</v>
          </cell>
          <cell r="C256">
            <v>96.530100000000004</v>
          </cell>
          <cell r="D256">
            <v>100.7274</v>
          </cell>
          <cell r="E256">
            <v>109.2058</v>
          </cell>
          <cell r="F256">
            <v>76.702399999999997</v>
          </cell>
          <cell r="G256">
            <v>96.7226</v>
          </cell>
          <cell r="H256">
            <v>99.030199999999994</v>
          </cell>
          <cell r="I256">
            <v>90.617400000000004</v>
          </cell>
          <cell r="J256">
            <v>92.146000000000001</v>
          </cell>
          <cell r="K256">
            <v>101.01560000000001</v>
          </cell>
          <cell r="L256">
            <v>79.440100000000001</v>
          </cell>
        </row>
        <row r="257">
          <cell r="A257">
            <v>44136</v>
          </cell>
          <cell r="B257">
            <v>95.631299999999996</v>
          </cell>
          <cell r="C257">
            <v>99.259600000000006</v>
          </cell>
          <cell r="D257">
            <v>98.981800000000007</v>
          </cell>
          <cell r="E257">
            <v>93.703299999999999</v>
          </cell>
          <cell r="F257">
            <v>76.866299999999995</v>
          </cell>
          <cell r="G257">
            <v>96.815100000000001</v>
          </cell>
          <cell r="H257">
            <v>98.765199999999993</v>
          </cell>
          <cell r="I257">
            <v>92.992400000000004</v>
          </cell>
          <cell r="J257">
            <v>91.750299999999996</v>
          </cell>
          <cell r="K257">
            <v>102.7118</v>
          </cell>
          <cell r="L257">
            <v>80.178799999999995</v>
          </cell>
        </row>
        <row r="258">
          <cell r="A258">
            <v>44166</v>
          </cell>
          <cell r="B258">
            <v>96.227599999999995</v>
          </cell>
          <cell r="C258">
            <v>99.588700000000003</v>
          </cell>
          <cell r="D258">
            <v>102.8077</v>
          </cell>
          <cell r="E258">
            <v>112.0209</v>
          </cell>
          <cell r="F258">
            <v>80.397199999999998</v>
          </cell>
          <cell r="G258">
            <v>96.706199999999995</v>
          </cell>
          <cell r="H258">
            <v>99.977199999999996</v>
          </cell>
          <cell r="I258">
            <v>92.461299999999994</v>
          </cell>
          <cell r="J258">
            <v>92.356399999999994</v>
          </cell>
          <cell r="K258">
            <v>103.92400000000001</v>
          </cell>
          <cell r="L258">
            <v>79.943600000000004</v>
          </cell>
        </row>
        <row r="259">
          <cell r="A259">
            <v>44197</v>
          </cell>
          <cell r="B259">
            <v>97.229100000000003</v>
          </cell>
          <cell r="C259">
            <v>100.7568</v>
          </cell>
          <cell r="D259">
            <v>101.124</v>
          </cell>
          <cell r="E259">
            <v>106.1015</v>
          </cell>
          <cell r="F259">
            <v>82.841800000000006</v>
          </cell>
          <cell r="G259">
            <v>96.9298</v>
          </cell>
          <cell r="H259">
            <v>101.2103</v>
          </cell>
          <cell r="I259">
            <v>93.867099999999994</v>
          </cell>
          <cell r="J259">
            <v>95.304400000000001</v>
          </cell>
          <cell r="K259">
            <v>104.1396</v>
          </cell>
          <cell r="L259">
            <v>83.356999999999999</v>
          </cell>
        </row>
        <row r="260">
          <cell r="A260">
            <v>44228</v>
          </cell>
          <cell r="B260">
            <v>93.408600000000007</v>
          </cell>
          <cell r="C260">
            <v>90.097800000000007</v>
          </cell>
          <cell r="D260">
            <v>105.5538</v>
          </cell>
          <cell r="E260">
            <v>120.2594</v>
          </cell>
          <cell r="F260">
            <v>77.554900000000004</v>
          </cell>
          <cell r="G260">
            <v>89.892600000000002</v>
          </cell>
          <cell r="H260">
            <v>99.932699999999997</v>
          </cell>
          <cell r="I260">
            <v>92.081199999999995</v>
          </cell>
          <cell r="J260">
            <v>92.764700000000005</v>
          </cell>
          <cell r="K260">
            <v>94.505300000000005</v>
          </cell>
          <cell r="L260">
            <v>82.3245</v>
          </cell>
        </row>
        <row r="261">
          <cell r="A261">
            <v>44256</v>
          </cell>
          <cell r="B261">
            <v>96.221199999999996</v>
          </cell>
          <cell r="C261">
            <v>100.11109999999999</v>
          </cell>
          <cell r="D261">
            <v>101.2662</v>
          </cell>
          <cell r="E261">
            <v>102.2809</v>
          </cell>
          <cell r="F261">
            <v>86.851500000000001</v>
          </cell>
          <cell r="G261">
            <v>94.835099999999997</v>
          </cell>
          <cell r="H261">
            <v>99.2179</v>
          </cell>
          <cell r="I261">
            <v>94.113399999999999</v>
          </cell>
          <cell r="J261">
            <v>95.447800000000001</v>
          </cell>
          <cell r="K261">
            <v>96.114999999999995</v>
          </cell>
          <cell r="L261">
            <v>82.131699999999995</v>
          </cell>
        </row>
        <row r="262">
          <cell r="A262">
            <v>44287</v>
          </cell>
          <cell r="B262">
            <v>96.338499999999996</v>
          </cell>
          <cell r="C262">
            <v>101.9131</v>
          </cell>
          <cell r="D262">
            <v>101.2766</v>
          </cell>
          <cell r="E262">
            <v>106.9071</v>
          </cell>
          <cell r="F262">
            <v>88.606800000000007</v>
          </cell>
          <cell r="G262">
            <v>98.996799999999993</v>
          </cell>
          <cell r="H262">
            <v>98.876800000000003</v>
          </cell>
          <cell r="I262">
            <v>96.598600000000005</v>
          </cell>
          <cell r="J262">
            <v>95.118499999999997</v>
          </cell>
          <cell r="K262">
            <v>90.067999999999998</v>
          </cell>
          <cell r="L262">
            <v>79.589600000000004</v>
          </cell>
        </row>
        <row r="263">
          <cell r="A263">
            <v>44317</v>
          </cell>
          <cell r="B263">
            <v>97.360900000000001</v>
          </cell>
          <cell r="C263">
            <v>104.5076</v>
          </cell>
          <cell r="D263">
            <v>99.892899999999997</v>
          </cell>
          <cell r="E263">
            <v>112.239</v>
          </cell>
          <cell r="F263">
            <v>89.567700000000002</v>
          </cell>
          <cell r="G263">
            <v>101.6152</v>
          </cell>
          <cell r="H263">
            <v>99.421099999999996</v>
          </cell>
          <cell r="I263">
            <v>95.139700000000005</v>
          </cell>
          <cell r="J263">
            <v>97.717699999999994</v>
          </cell>
          <cell r="K263">
            <v>93.095100000000002</v>
          </cell>
          <cell r="L263">
            <v>78.681899999999999</v>
          </cell>
        </row>
        <row r="264">
          <cell r="A264">
            <v>44348</v>
          </cell>
          <cell r="B264">
            <v>97.305199999999999</v>
          </cell>
          <cell r="C264">
            <v>105.0523</v>
          </cell>
          <cell r="D264">
            <v>104.101</v>
          </cell>
          <cell r="E264">
            <v>111.517</v>
          </cell>
          <cell r="F264">
            <v>90.478099999999998</v>
          </cell>
          <cell r="G264">
            <v>102.5333</v>
          </cell>
          <cell r="H264">
            <v>100.3501</v>
          </cell>
          <cell r="I264">
            <v>96.415700000000001</v>
          </cell>
          <cell r="J264">
            <v>97.502799999999993</v>
          </cell>
          <cell r="K264">
            <v>90.2547</v>
          </cell>
          <cell r="L264">
            <v>79.597399999999993</v>
          </cell>
        </row>
        <row r="265">
          <cell r="A265">
            <v>44378</v>
          </cell>
          <cell r="B265">
            <v>98.295199999999994</v>
          </cell>
          <cell r="C265">
            <v>105.4303</v>
          </cell>
          <cell r="D265">
            <v>101.82810000000001</v>
          </cell>
          <cell r="E265">
            <v>110.3468</v>
          </cell>
          <cell r="F265">
            <v>91.086100000000002</v>
          </cell>
          <cell r="G265">
            <v>102.6221</v>
          </cell>
          <cell r="H265">
            <v>101.18040000000001</v>
          </cell>
          <cell r="I265">
            <v>97.132199999999997</v>
          </cell>
          <cell r="J265">
            <v>99.791399999999996</v>
          </cell>
          <cell r="K265">
            <v>94.245199999999997</v>
          </cell>
          <cell r="L265">
            <v>81.780100000000004</v>
          </cell>
        </row>
        <row r="266">
          <cell r="A266">
            <v>44409</v>
          </cell>
          <cell r="B266">
            <v>98.016199999999998</v>
          </cell>
          <cell r="C266">
            <v>104.8231</v>
          </cell>
          <cell r="D266">
            <v>103.84869999999999</v>
          </cell>
          <cell r="E266">
            <v>110.97</v>
          </cell>
          <cell r="F266">
            <v>90.742500000000007</v>
          </cell>
          <cell r="G266">
            <v>101.7256</v>
          </cell>
          <cell r="H266">
            <v>101.5774</v>
          </cell>
          <cell r="I266">
            <v>97.0535</v>
          </cell>
          <cell r="J266">
            <v>99.176100000000005</v>
          </cell>
          <cell r="K266">
            <v>92.489599999999996</v>
          </cell>
          <cell r="L266">
            <v>80.117199999999997</v>
          </cell>
        </row>
        <row r="267">
          <cell r="A267">
            <v>44440</v>
          </cell>
          <cell r="B267">
            <v>97.141300000000001</v>
          </cell>
          <cell r="C267">
            <v>101.8815</v>
          </cell>
          <cell r="D267">
            <v>102.8066</v>
          </cell>
          <cell r="E267">
            <v>110.79089999999999</v>
          </cell>
          <cell r="F267">
            <v>90.482799999999997</v>
          </cell>
          <cell r="G267">
            <v>99.905299999999997</v>
          </cell>
          <cell r="H267">
            <v>101.1562</v>
          </cell>
          <cell r="I267">
            <v>97.643600000000006</v>
          </cell>
          <cell r="J267">
            <v>99.086799999999997</v>
          </cell>
          <cell r="K267">
            <v>86.008099999999999</v>
          </cell>
          <cell r="L267">
            <v>79.708399999999997</v>
          </cell>
        </row>
        <row r="268">
          <cell r="A268">
            <v>44470</v>
          </cell>
          <cell r="B268">
            <v>98.440700000000007</v>
          </cell>
          <cell r="C268">
            <v>105.7813</v>
          </cell>
          <cell r="D268">
            <v>101.6648</v>
          </cell>
          <cell r="E268">
            <v>98.502399999999994</v>
          </cell>
          <cell r="F268">
            <v>92.555099999999996</v>
          </cell>
          <cell r="G268">
            <v>102.08329999999999</v>
          </cell>
          <cell r="H268">
            <v>101.85080000000001</v>
          </cell>
          <cell r="I268">
            <v>98.559399999999997</v>
          </cell>
          <cell r="J268">
            <v>98.399900000000002</v>
          </cell>
          <cell r="K268">
            <v>94.985699999999994</v>
          </cell>
          <cell r="L268">
            <v>79.177000000000007</v>
          </cell>
        </row>
        <row r="269">
          <cell r="A269">
            <v>44501</v>
          </cell>
          <cell r="B269">
            <v>99.285300000000007</v>
          </cell>
          <cell r="C269">
            <v>106.1293</v>
          </cell>
          <cell r="D269">
            <v>102.4354</v>
          </cell>
          <cell r="E269">
            <v>107.02889999999999</v>
          </cell>
          <cell r="F269">
            <v>92.342100000000002</v>
          </cell>
          <cell r="G269">
            <v>102.3985</v>
          </cell>
          <cell r="H269">
            <v>103.663</v>
          </cell>
          <cell r="I269">
            <v>97.876300000000001</v>
          </cell>
          <cell r="J269">
            <v>98.647300000000001</v>
          </cell>
          <cell r="K269">
            <v>99.267899999999997</v>
          </cell>
          <cell r="L269">
            <v>80.087900000000005</v>
          </cell>
        </row>
        <row r="270">
          <cell r="A270">
            <v>44531</v>
          </cell>
          <cell r="B270">
            <v>99.235399999999998</v>
          </cell>
          <cell r="C270">
            <v>106.1397</v>
          </cell>
          <cell r="D270">
            <v>99.630700000000004</v>
          </cell>
          <cell r="E270">
            <v>101.9286</v>
          </cell>
          <cell r="F270">
            <v>91.589500000000001</v>
          </cell>
          <cell r="G270">
            <v>102.7719</v>
          </cell>
          <cell r="H270">
            <v>102.9444</v>
          </cell>
          <cell r="I270">
            <v>96.316299999999998</v>
          </cell>
          <cell r="J270">
            <v>101.91</v>
          </cell>
          <cell r="K270">
            <v>97.332599999999999</v>
          </cell>
          <cell r="L270">
            <v>79.670500000000004</v>
          </cell>
        </row>
        <row r="271">
          <cell r="A271">
            <v>44562</v>
          </cell>
          <cell r="B271">
            <v>98.674300000000002</v>
          </cell>
          <cell r="C271">
            <v>104.71339999999999</v>
          </cell>
          <cell r="D271">
            <v>106.83580000000001</v>
          </cell>
          <cell r="E271">
            <v>118.17010000000001</v>
          </cell>
          <cell r="F271">
            <v>88.151399999999995</v>
          </cell>
          <cell r="G271">
            <v>101.6199</v>
          </cell>
          <cell r="H271">
            <v>101.55970000000001</v>
          </cell>
          <cell r="I271">
            <v>93.926100000000005</v>
          </cell>
          <cell r="J271">
            <v>102.38460000000001</v>
          </cell>
          <cell r="K271">
            <v>97.718299999999999</v>
          </cell>
          <cell r="L271">
            <v>80.1554</v>
          </cell>
        </row>
        <row r="272">
          <cell r="A272">
            <v>44593</v>
          </cell>
          <cell r="B272">
            <v>99.827299999999994</v>
          </cell>
          <cell r="C272">
            <v>104.6793</v>
          </cell>
          <cell r="D272">
            <v>105.4541</v>
          </cell>
          <cell r="E272">
            <v>115.0885</v>
          </cell>
          <cell r="F272">
            <v>90.027900000000002</v>
          </cell>
          <cell r="G272">
            <v>101.8199</v>
          </cell>
          <cell r="H272">
            <v>104.2736</v>
          </cell>
          <cell r="I272">
            <v>95.972999999999999</v>
          </cell>
          <cell r="J272">
            <v>104.3587</v>
          </cell>
          <cell r="K272">
            <v>94.4221</v>
          </cell>
          <cell r="L272">
            <v>82.159400000000005</v>
          </cell>
        </row>
        <row r="273">
          <cell r="A273">
            <v>44621</v>
          </cell>
          <cell r="B273">
            <v>100.63330000000001</v>
          </cell>
          <cell r="C273">
            <v>106.7774</v>
          </cell>
          <cell r="D273">
            <v>103.6938</v>
          </cell>
          <cell r="E273">
            <v>110.1232</v>
          </cell>
          <cell r="F273">
            <v>91.224000000000004</v>
          </cell>
          <cell r="G273">
            <v>102.7371</v>
          </cell>
          <cell r="H273">
            <v>104.5466</v>
          </cell>
          <cell r="I273">
            <v>94.844200000000001</v>
          </cell>
          <cell r="J273">
            <v>104.605</v>
          </cell>
          <cell r="K273">
            <v>100.5857</v>
          </cell>
          <cell r="L273">
            <v>83.072100000000006</v>
          </cell>
        </row>
        <row r="274">
          <cell r="A274">
            <v>44652</v>
          </cell>
          <cell r="B274">
            <v>100.7696</v>
          </cell>
          <cell r="C274">
            <v>106.9024</v>
          </cell>
          <cell r="D274">
            <v>103.7843</v>
          </cell>
          <cell r="E274">
            <v>119.76949999999999</v>
          </cell>
          <cell r="F274">
            <v>89.776399999999995</v>
          </cell>
          <cell r="G274">
            <v>102.57129999999999</v>
          </cell>
          <cell r="H274">
            <v>105.0615</v>
          </cell>
          <cell r="I274">
            <v>96.091200000000001</v>
          </cell>
          <cell r="J274">
            <v>105.68559999999999</v>
          </cell>
          <cell r="K274">
            <v>102.6073</v>
          </cell>
          <cell r="L274">
            <v>85.797899999999998</v>
          </cell>
        </row>
        <row r="275">
          <cell r="A275">
            <v>44682</v>
          </cell>
          <cell r="B275">
            <v>100.3862</v>
          </cell>
          <cell r="C275">
            <v>107.5956</v>
          </cell>
          <cell r="D275">
            <v>106.18899999999999</v>
          </cell>
          <cell r="E275">
            <v>111.584</v>
          </cell>
          <cell r="F275">
            <v>90.480500000000006</v>
          </cell>
          <cell r="G275">
            <v>102.30200000000001</v>
          </cell>
          <cell r="H275">
            <v>104.57389999999999</v>
          </cell>
          <cell r="I275">
            <v>96.961299999999994</v>
          </cell>
          <cell r="J275">
            <v>104.0702</v>
          </cell>
          <cell r="K275">
            <v>101.9451</v>
          </cell>
          <cell r="L275">
            <v>85.427300000000002</v>
          </cell>
        </row>
        <row r="276">
          <cell r="A276">
            <v>44713</v>
          </cell>
          <cell r="B276">
            <v>99.957599999999999</v>
          </cell>
          <cell r="C276">
            <v>108.71040000000001</v>
          </cell>
          <cell r="D276">
            <v>105.8505</v>
          </cell>
          <cell r="E276">
            <v>111.8605</v>
          </cell>
          <cell r="F276">
            <v>88.519800000000004</v>
          </cell>
          <cell r="G276">
            <v>102.0852</v>
          </cell>
          <cell r="H276">
            <v>104.1746</v>
          </cell>
          <cell r="I276">
            <v>96.260099999999994</v>
          </cell>
          <cell r="J276">
            <v>103.22029999999999</v>
          </cell>
          <cell r="K276">
            <v>100.6771</v>
          </cell>
          <cell r="L276">
            <v>85.976299999999995</v>
          </cell>
        </row>
        <row r="277">
          <cell r="A277">
            <v>44743</v>
          </cell>
          <cell r="B277">
            <v>100.1859</v>
          </cell>
          <cell r="C277">
            <v>109.7146</v>
          </cell>
          <cell r="D277">
            <v>105.8888</v>
          </cell>
          <cell r="E277">
            <v>112.7924</v>
          </cell>
          <cell r="F277">
            <v>88.151399999999995</v>
          </cell>
          <cell r="G277">
            <v>102.15560000000001</v>
          </cell>
          <cell r="H277">
            <v>105.1455</v>
          </cell>
          <cell r="I277">
            <v>96.784199999999998</v>
          </cell>
          <cell r="J277">
            <v>102.9957</v>
          </cell>
          <cell r="K277">
            <v>104.03319999999999</v>
          </cell>
          <cell r="L277">
            <v>87.208500000000001</v>
          </cell>
        </row>
        <row r="278">
          <cell r="A278">
            <v>44774</v>
          </cell>
          <cell r="B278">
            <v>100.379</v>
          </cell>
          <cell r="C278">
            <v>109.59310000000001</v>
          </cell>
          <cell r="D278">
            <v>105.0448</v>
          </cell>
          <cell r="E278">
            <v>111.6798</v>
          </cell>
          <cell r="F278">
            <v>89.947999999999993</v>
          </cell>
          <cell r="G278">
            <v>102.5849</v>
          </cell>
          <cell r="H278">
            <v>104.9952</v>
          </cell>
          <cell r="I278">
            <v>95.394800000000004</v>
          </cell>
          <cell r="J278">
            <v>104.4355</v>
          </cell>
          <cell r="K278">
            <v>103.0354</v>
          </cell>
          <cell r="L278">
            <v>88.067899999999995</v>
          </cell>
        </row>
        <row r="279">
          <cell r="A279">
            <v>44805</v>
          </cell>
          <cell r="B279">
            <v>100.6212</v>
          </cell>
          <cell r="C279">
            <v>110.4084</v>
          </cell>
          <cell r="D279">
            <v>103.8319</v>
          </cell>
          <cell r="E279">
            <v>111.47239999999999</v>
          </cell>
          <cell r="F279">
            <v>92.055700000000002</v>
          </cell>
          <cell r="G279">
            <v>102.4739</v>
          </cell>
          <cell r="H279">
            <v>104.81870000000001</v>
          </cell>
          <cell r="I279">
            <v>95.028000000000006</v>
          </cell>
          <cell r="J279">
            <v>105.7697</v>
          </cell>
          <cell r="K279">
            <v>103.3145</v>
          </cell>
          <cell r="L279">
            <v>87.6571</v>
          </cell>
        </row>
        <row r="280">
          <cell r="A280">
            <v>44835</v>
          </cell>
          <cell r="B280">
            <v>100.75449999999999</v>
          </cell>
          <cell r="C280">
            <v>110.15130000000001</v>
          </cell>
          <cell r="D280">
            <v>100.2311</v>
          </cell>
          <cell r="E280">
            <v>115.5288</v>
          </cell>
          <cell r="F280">
            <v>91.1327</v>
          </cell>
          <cell r="G280">
            <v>102.60639999999999</v>
          </cell>
          <cell r="H280">
            <v>104.42100000000001</v>
          </cell>
          <cell r="I280">
            <v>95.199100000000001</v>
          </cell>
          <cell r="J280">
            <v>105.5654</v>
          </cell>
          <cell r="K280">
            <v>105.6454</v>
          </cell>
          <cell r="L280">
            <v>87.584800000000001</v>
          </cell>
        </row>
        <row r="281">
          <cell r="A281">
            <v>44866</v>
          </cell>
          <cell r="B281">
            <v>100.0038</v>
          </cell>
          <cell r="C281">
            <v>109.3014</v>
          </cell>
          <cell r="D281">
            <v>104.502</v>
          </cell>
          <cell r="E281">
            <v>113.82550000000001</v>
          </cell>
          <cell r="F281">
            <v>91.026700000000005</v>
          </cell>
          <cell r="G281">
            <v>102.15600000000001</v>
          </cell>
          <cell r="H281">
            <v>101.7912</v>
          </cell>
          <cell r="I281">
            <v>91.996399999999994</v>
          </cell>
          <cell r="J281">
            <v>105.10339999999999</v>
          </cell>
          <cell r="K281">
            <v>103.431</v>
          </cell>
          <cell r="L281">
            <v>87.017099999999999</v>
          </cell>
        </row>
        <row r="282">
          <cell r="A282">
            <v>44896</v>
          </cell>
          <cell r="B282">
            <v>97.905000000000001</v>
          </cell>
          <cell r="C282">
            <v>106.2204</v>
          </cell>
          <cell r="D282">
            <v>106.895</v>
          </cell>
          <cell r="E282">
            <v>123.2893</v>
          </cell>
          <cell r="F282">
            <v>87.355599999999995</v>
          </cell>
          <cell r="G282">
            <v>98.004099999999994</v>
          </cell>
          <cell r="H282">
            <v>99.910899999999998</v>
          </cell>
          <cell r="I282">
            <v>90.159199999999998</v>
          </cell>
          <cell r="J282">
            <v>102.807</v>
          </cell>
          <cell r="K282">
            <v>102.9025</v>
          </cell>
          <cell r="L282">
            <v>86.775099999999995</v>
          </cell>
        </row>
        <row r="283">
          <cell r="A283">
            <v>44927</v>
          </cell>
          <cell r="B283">
            <v>99.533900000000003</v>
          </cell>
          <cell r="C283">
            <v>110.34010000000001</v>
          </cell>
          <cell r="D283">
            <v>101.0607</v>
          </cell>
          <cell r="E283">
            <v>102.8052</v>
          </cell>
          <cell r="F283">
            <v>87.546199999999999</v>
          </cell>
          <cell r="G283">
            <v>101.8747</v>
          </cell>
          <cell r="H283">
            <v>99.659099999999995</v>
          </cell>
          <cell r="I283">
            <v>92.027199999999993</v>
          </cell>
          <cell r="J283">
            <v>104.59829999999999</v>
          </cell>
          <cell r="K283">
            <v>104.5371</v>
          </cell>
          <cell r="L283">
            <v>86.842500000000001</v>
          </cell>
        </row>
        <row r="284">
          <cell r="A284">
            <v>44958</v>
          </cell>
          <cell r="B284">
            <v>99.881299999999996</v>
          </cell>
          <cell r="C284">
            <v>110.7165</v>
          </cell>
          <cell r="D284">
            <v>99.952500000000001</v>
          </cell>
          <cell r="E284">
            <v>103.6794</v>
          </cell>
          <cell r="F284">
            <v>88.255200000000002</v>
          </cell>
          <cell r="G284">
            <v>104.3321</v>
          </cell>
          <cell r="H284">
            <v>98.674499999999995</v>
          </cell>
          <cell r="I284">
            <v>93.492699999999999</v>
          </cell>
          <cell r="J284">
            <v>104.4164</v>
          </cell>
          <cell r="K284">
            <v>104.44929999999999</v>
          </cell>
          <cell r="L284">
            <v>85.968699999999998</v>
          </cell>
        </row>
        <row r="285">
          <cell r="A285">
            <v>44986</v>
          </cell>
          <cell r="B285">
            <v>99.072800000000001</v>
          </cell>
          <cell r="C285">
            <v>111.0829</v>
          </cell>
          <cell r="D285">
            <v>104.84059999999999</v>
          </cell>
          <cell r="E285">
            <v>118.5808</v>
          </cell>
          <cell r="F285">
            <v>89.720299999999995</v>
          </cell>
          <cell r="G285">
            <v>103.375</v>
          </cell>
          <cell r="H285">
            <v>98.922600000000003</v>
          </cell>
          <cell r="I285">
            <v>92.660399999999996</v>
          </cell>
          <cell r="J285">
            <v>102.35760000000001</v>
          </cell>
          <cell r="K285">
            <v>102.42700000000001</v>
          </cell>
          <cell r="L285">
            <v>86.394400000000005</v>
          </cell>
        </row>
        <row r="286">
          <cell r="A286">
            <v>45017</v>
          </cell>
          <cell r="B286">
            <v>99.929500000000004</v>
          </cell>
          <cell r="C286">
            <v>110.94070000000001</v>
          </cell>
          <cell r="D286">
            <v>103.2791</v>
          </cell>
          <cell r="E286">
            <v>110.31659999999999</v>
          </cell>
          <cell r="F286">
            <v>90.566800000000001</v>
          </cell>
          <cell r="G286">
            <v>103.6388</v>
          </cell>
          <cell r="H286">
            <v>99.526899999999998</v>
          </cell>
          <cell r="I286">
            <v>95.552700000000002</v>
          </cell>
          <cell r="J286">
            <v>102.7363</v>
          </cell>
          <cell r="K286">
            <v>111.9449</v>
          </cell>
          <cell r="L286">
            <v>85.886399999999995</v>
          </cell>
        </row>
        <row r="287">
          <cell r="A287">
            <v>45047</v>
          </cell>
          <cell r="B287">
            <v>99.775800000000004</v>
          </cell>
          <cell r="C287">
            <v>111.09820000000001</v>
          </cell>
          <cell r="D287">
            <v>102.3716</v>
          </cell>
          <cell r="E287">
            <v>111.70699999999999</v>
          </cell>
          <cell r="F287">
            <v>90.208600000000004</v>
          </cell>
          <cell r="G287">
            <v>103.54430000000001</v>
          </cell>
          <cell r="H287">
            <v>98.94</v>
          </cell>
          <cell r="I287">
            <v>95.3232</v>
          </cell>
          <cell r="J287">
            <v>101.08669999999999</v>
          </cell>
          <cell r="K287">
            <v>113.3117</v>
          </cell>
          <cell r="L287">
            <v>87.917100000000005</v>
          </cell>
        </row>
        <row r="288">
          <cell r="A288">
            <v>45078</v>
          </cell>
          <cell r="B288">
            <v>99.088200000000001</v>
          </cell>
          <cell r="C288">
            <v>111.5146</v>
          </cell>
          <cell r="D288">
            <v>99.956999999999994</v>
          </cell>
          <cell r="E288">
            <v>114.6537</v>
          </cell>
          <cell r="F288">
            <v>88.930700000000002</v>
          </cell>
          <cell r="G288">
            <v>104.1421</v>
          </cell>
          <cell r="H288">
            <v>99.375600000000006</v>
          </cell>
          <cell r="I288">
            <v>96.244</v>
          </cell>
          <cell r="J288">
            <v>99.406800000000004</v>
          </cell>
          <cell r="K288">
            <v>108.1378</v>
          </cell>
          <cell r="L288">
            <v>89.234099999999998</v>
          </cell>
        </row>
        <row r="289">
          <cell r="A289">
            <v>45108</v>
          </cell>
          <cell r="B289">
            <v>99.455299999999994</v>
          </cell>
          <cell r="C289">
            <v>112.0013</v>
          </cell>
          <cell r="D289">
            <v>105.77509999999999</v>
          </cell>
          <cell r="E289">
            <v>114.0552</v>
          </cell>
          <cell r="F289">
            <v>90.259</v>
          </cell>
          <cell r="G289">
            <v>103.0898</v>
          </cell>
          <cell r="H289">
            <v>99.377200000000002</v>
          </cell>
          <cell r="I289">
            <v>94.417000000000002</v>
          </cell>
          <cell r="J289">
            <v>100.2152</v>
          </cell>
          <cell r="K289">
            <v>114.75409999999999</v>
          </cell>
          <cell r="L289">
            <v>89.459500000000006</v>
          </cell>
        </row>
        <row r="290">
          <cell r="A290">
            <v>45139</v>
          </cell>
          <cell r="B290">
            <v>99.522199999999998</v>
          </cell>
          <cell r="C290">
            <v>111.8903</v>
          </cell>
          <cell r="D290">
            <v>106.6271</v>
          </cell>
          <cell r="E290">
            <v>114.1692</v>
          </cell>
          <cell r="F290">
            <v>91.506900000000002</v>
          </cell>
          <cell r="G290">
            <v>103.77679999999999</v>
          </cell>
          <cell r="H290">
            <v>99.139700000000005</v>
          </cell>
          <cell r="I290">
            <v>93.992400000000004</v>
          </cell>
          <cell r="J290">
            <v>101.4778</v>
          </cell>
          <cell r="K290">
            <v>110.2501</v>
          </cell>
          <cell r="L290">
            <v>90.569500000000005</v>
          </cell>
        </row>
        <row r="291">
          <cell r="A291">
            <v>45170</v>
          </cell>
          <cell r="B291">
            <v>99.627700000000004</v>
          </cell>
          <cell r="C291">
            <v>112.7419</v>
          </cell>
          <cell r="D291">
            <v>105.87439999999999</v>
          </cell>
          <cell r="E291">
            <v>111.48260000000001</v>
          </cell>
          <cell r="F291">
            <v>92.206900000000005</v>
          </cell>
          <cell r="G291">
            <v>103.7461</v>
          </cell>
          <cell r="H291">
            <v>100.57170000000001</v>
          </cell>
          <cell r="I291">
            <v>96.568100000000001</v>
          </cell>
          <cell r="J291">
            <v>100.94799999999999</v>
          </cell>
          <cell r="K291">
            <v>109.7876</v>
          </cell>
          <cell r="L291">
            <v>90.315600000000003</v>
          </cell>
        </row>
        <row r="292">
          <cell r="A292">
            <v>45200</v>
          </cell>
          <cell r="B292">
            <v>98.802599999999998</v>
          </cell>
          <cell r="C292">
            <v>111.8968</v>
          </cell>
          <cell r="D292">
            <v>104.43519999999999</v>
          </cell>
          <cell r="E292">
            <v>113.37390000000001</v>
          </cell>
          <cell r="F292">
            <v>92.349400000000003</v>
          </cell>
          <cell r="G292">
            <v>102.9061</v>
          </cell>
          <cell r="H292">
            <v>98.902500000000003</v>
          </cell>
          <cell r="I292">
            <v>93.205399999999997</v>
          </cell>
          <cell r="J292">
            <v>99.481800000000007</v>
          </cell>
          <cell r="K292">
            <v>98.905600000000007</v>
          </cell>
          <cell r="L292">
            <v>90.673199999999994</v>
          </cell>
        </row>
        <row r="293">
          <cell r="A293">
            <v>45231</v>
          </cell>
          <cell r="B293">
            <v>99.038600000000002</v>
          </cell>
          <cell r="C293">
            <v>111.26349999999999</v>
          </cell>
          <cell r="D293">
            <v>103.5639</v>
          </cell>
          <cell r="E293">
            <v>113.3867</v>
          </cell>
          <cell r="F293">
            <v>92.342399999999998</v>
          </cell>
          <cell r="G293">
            <v>102.4524</v>
          </cell>
          <cell r="H293">
            <v>98.1477</v>
          </cell>
          <cell r="I293">
            <v>94.031099999999995</v>
          </cell>
          <cell r="J293">
            <v>100.1249</v>
          </cell>
          <cell r="K293">
            <v>106.2052</v>
          </cell>
          <cell r="L293">
            <v>91.520200000000003</v>
          </cell>
        </row>
        <row r="294">
          <cell r="A294">
            <v>45261</v>
          </cell>
          <cell r="B294">
            <v>99.088399999999993</v>
          </cell>
          <cell r="C294">
            <v>112.247</v>
          </cell>
          <cell r="D294">
            <v>103.5715</v>
          </cell>
          <cell r="E294">
            <v>105.3595</v>
          </cell>
          <cell r="F294">
            <v>94.336200000000005</v>
          </cell>
          <cell r="G294">
            <v>102.72799999999999</v>
          </cell>
          <cell r="H294">
            <v>98.851100000000002</v>
          </cell>
          <cell r="I294">
            <v>93.910300000000007</v>
          </cell>
          <cell r="J294">
            <v>98.917599999999993</v>
          </cell>
          <cell r="K294">
            <v>107.8907</v>
          </cell>
          <cell r="L294">
            <v>91.501300000000001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vesting.com/indices/us-30-historical-data" TargetMode="External"/><Relationship Id="rId7" Type="http://schemas.openxmlformats.org/officeDocument/2006/relationships/hyperlink" Target="https://ourworldindata.org/co2/country/united-states?country=~USA" TargetMode="External"/><Relationship Id="rId2" Type="http://schemas.openxmlformats.org/officeDocument/2006/relationships/hyperlink" Target="https://www.federalreserve.gov/datadownload/Download.aspx?rel=g17&amp;series=08d1f259fed64a6ddda57c1802f2ba42&amp;filetype=csv&amp;label=include&amp;layout=seriescolumn&amp;from=01/01/2000&amp;to=12/31/2023" TargetMode="External"/><Relationship Id="rId1" Type="http://schemas.openxmlformats.org/officeDocument/2006/relationships/hyperlink" Target="https://in.investing.com/commodities/carbon-emissions-historical-data" TargetMode="External"/><Relationship Id="rId6" Type="http://schemas.openxmlformats.org/officeDocument/2006/relationships/hyperlink" Target="https://in.investing.com/commodities/natural-gas-historical-data?end_date=1706115666&amp;interval_sec=monthly&amp;st_date=980274600" TargetMode="External"/><Relationship Id="rId5" Type="http://schemas.openxmlformats.org/officeDocument/2006/relationships/hyperlink" Target="https://in.investing.com/commodities/crude-oil-historical-data?end_date=1706115221&amp;interval_sec=monthly&amp;st_date=948652200" TargetMode="External"/><Relationship Id="rId4" Type="http://schemas.openxmlformats.org/officeDocument/2006/relationships/hyperlink" Target="https://apps.bea.gov/iTable/?reqid=19&amp;step=2&amp;isuri=1&amp;categories=survey&amp;_gl=1*1fupzff*_ga*MTI2NzgwNDUzMC4xNzA2MTExODQ5*_ga_J4698JNNFT*MTcwNjExMzg5MC4yLjEuMTcwNjExNDI1OC41OS4wLjA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3DF9-CE72-48F0-937B-6D0DD2DF8427}">
  <dimension ref="A1:P224"/>
  <sheetViews>
    <sheetView tabSelected="1" workbookViewId="0">
      <selection activeCell="E2" sqref="E2"/>
    </sheetView>
  </sheetViews>
  <sheetFormatPr defaultRowHeight="14.4" x14ac:dyDescent="0.3"/>
  <cols>
    <col min="1" max="1" width="11.6640625" style="11" bestFit="1" customWidth="1"/>
    <col min="2" max="2" width="19.44140625" style="1" bestFit="1" customWidth="1"/>
    <col min="3" max="3" width="9.77734375" bestFit="1" customWidth="1"/>
    <col min="4" max="4" width="14.77734375" bestFit="1" customWidth="1"/>
    <col min="5" max="5" width="16.77734375" bestFit="1" customWidth="1"/>
    <col min="6" max="6" width="8" bestFit="1" customWidth="1"/>
    <col min="7" max="7" width="23.77734375" bestFit="1" customWidth="1"/>
    <col min="8" max="8" width="13.6640625" bestFit="1" customWidth="1"/>
    <col min="9" max="9" width="15.44140625" bestFit="1" customWidth="1"/>
    <col min="10" max="10" width="25.6640625" bestFit="1" customWidth="1"/>
    <col min="11" max="11" width="9" bestFit="1" customWidth="1"/>
    <col min="12" max="12" width="25.109375" bestFit="1" customWidth="1"/>
    <col min="16" max="16" width="10.33203125" bestFit="1" customWidth="1"/>
  </cols>
  <sheetData>
    <row r="1" spans="1:16" ht="15" thickBot="1" x14ac:dyDescent="0.35">
      <c r="A1" s="8" t="s">
        <v>0</v>
      </c>
      <c r="B1" s="2" t="s">
        <v>18</v>
      </c>
      <c r="C1" s="13" t="s">
        <v>19</v>
      </c>
      <c r="D1" s="15" t="s">
        <v>20</v>
      </c>
      <c r="E1" s="15" t="s">
        <v>25</v>
      </c>
      <c r="F1" s="13" t="s">
        <v>15</v>
      </c>
      <c r="G1" s="13" t="s">
        <v>21</v>
      </c>
      <c r="H1" s="13" t="s">
        <v>16</v>
      </c>
      <c r="I1" s="13" t="s">
        <v>22</v>
      </c>
      <c r="J1" s="13" t="s">
        <v>23</v>
      </c>
      <c r="K1" s="13" t="s">
        <v>17</v>
      </c>
      <c r="L1" s="13" t="s">
        <v>24</v>
      </c>
      <c r="M1" s="13"/>
    </row>
    <row r="2" spans="1:16" ht="15" thickBot="1" x14ac:dyDescent="0.35">
      <c r="A2" s="9">
        <v>38504</v>
      </c>
      <c r="B2" s="3">
        <v>25.8</v>
      </c>
      <c r="C2" s="12">
        <v>10274.969999999999</v>
      </c>
      <c r="D2" s="3">
        <v>56.5</v>
      </c>
      <c r="E2" s="3">
        <v>6.9809999999999999</v>
      </c>
      <c r="F2">
        <f>VLOOKUP(A2,[1]edited!$C:$D,2,0)</f>
        <v>12922.7</v>
      </c>
      <c r="G2">
        <v>20.658026</v>
      </c>
      <c r="H2">
        <f>VLOOKUP(A2,[2]Sheet1!$A:$L,2,0)</f>
        <v>102.02719999999999</v>
      </c>
      <c r="I2">
        <f>VLOOKUP(A2,[2]Sheet1!$A:$L,3,0)</f>
        <v>85.546400000000006</v>
      </c>
      <c r="J2">
        <f>VLOOKUP(A2,[2]Sheet1!$A:$L,6,0)</f>
        <v>95.665899999999993</v>
      </c>
      <c r="K2">
        <f>VLOOKUP(A2,[2]Sheet1!$A:$L,7,0)</f>
        <v>119.3235</v>
      </c>
      <c r="L2">
        <f>VLOOKUP(A2,[2]Sheet1!$A:$L,8,0)</f>
        <v>108.5847</v>
      </c>
    </row>
    <row r="3" spans="1:16" ht="15" thickBot="1" x14ac:dyDescent="0.35">
      <c r="A3" s="9">
        <v>38534</v>
      </c>
      <c r="B3" s="3">
        <v>22.35</v>
      </c>
      <c r="C3" s="12">
        <v>10640.91</v>
      </c>
      <c r="D3" s="3">
        <v>60.57</v>
      </c>
      <c r="E3" s="3">
        <v>7.8849999999999998</v>
      </c>
      <c r="F3" t="e">
        <f>VLOOKUP(A3,[1]edited!$C:$D,2,0)</f>
        <v>#N/A</v>
      </c>
      <c r="H3">
        <f>VLOOKUP(A3,[2]Sheet1!$A:$L,2,0)</f>
        <v>101.6681</v>
      </c>
      <c r="I3">
        <f>VLOOKUP(A3,[2]Sheet1!$A:$L,3,0)</f>
        <v>85.571399999999997</v>
      </c>
      <c r="J3">
        <f>VLOOKUP(A3,[2]Sheet1!$A:$L,6,0)</f>
        <v>93.427199999999999</v>
      </c>
      <c r="K3">
        <f>VLOOKUP(A3,[2]Sheet1!$A:$L,7,0)</f>
        <v>119.76260000000001</v>
      </c>
      <c r="L3">
        <f>VLOOKUP(A3,[2]Sheet1!$A:$L,8,0)</f>
        <v>108.236</v>
      </c>
    </row>
    <row r="4" spans="1:16" ht="15" thickBot="1" x14ac:dyDescent="0.35">
      <c r="A4" s="10">
        <v>38565</v>
      </c>
      <c r="B4" s="4">
        <v>23.95</v>
      </c>
      <c r="C4" s="12">
        <v>10481.6</v>
      </c>
      <c r="D4" s="3">
        <v>68.94</v>
      </c>
      <c r="E4" s="3">
        <v>11.472</v>
      </c>
      <c r="F4" t="e">
        <f>VLOOKUP(A4,[1]edited!$C:$D,2,0)</f>
        <v>#N/A</v>
      </c>
      <c r="H4">
        <f>VLOOKUP(A4,[2]Sheet1!$A:$L,2,0)</f>
        <v>102.21259999999999</v>
      </c>
      <c r="I4">
        <f>VLOOKUP(A4,[2]Sheet1!$A:$L,3,0)</f>
        <v>84.629199999999997</v>
      </c>
      <c r="J4">
        <f>VLOOKUP(A4,[2]Sheet1!$A:$L,6,0)</f>
        <v>92.451999999999998</v>
      </c>
      <c r="K4">
        <f>VLOOKUP(A4,[2]Sheet1!$A:$L,7,0)</f>
        <v>117.6605</v>
      </c>
      <c r="L4">
        <f>VLOOKUP(A4,[2]Sheet1!$A:$L,8,0)</f>
        <v>109.71420000000001</v>
      </c>
    </row>
    <row r="5" spans="1:16" ht="15" thickBot="1" x14ac:dyDescent="0.35">
      <c r="A5" s="9">
        <v>38596</v>
      </c>
      <c r="B5" s="3">
        <v>22.85</v>
      </c>
      <c r="C5" s="12">
        <v>10568.7</v>
      </c>
      <c r="D5" s="3">
        <v>66.239999999999995</v>
      </c>
      <c r="E5" s="3">
        <v>13.920999999999999</v>
      </c>
      <c r="F5">
        <f>VLOOKUP(A5,[1]edited!$C:$D,2,0)</f>
        <v>13142.6</v>
      </c>
      <c r="H5">
        <f>VLOOKUP(A5,[2]Sheet1!$A:$L,2,0)</f>
        <v>101.083</v>
      </c>
      <c r="I5">
        <f>VLOOKUP(A5,[2]Sheet1!$A:$L,3,0)</f>
        <v>75.285899999999998</v>
      </c>
      <c r="J5">
        <f>VLOOKUP(A5,[2]Sheet1!$A:$L,6,0)</f>
        <v>87.185100000000006</v>
      </c>
      <c r="K5">
        <f>VLOOKUP(A5,[2]Sheet1!$A:$L,7,0)</f>
        <v>110.4729</v>
      </c>
      <c r="L5">
        <f>VLOOKUP(A5,[2]Sheet1!$A:$L,8,0)</f>
        <v>111.58620000000001</v>
      </c>
    </row>
    <row r="6" spans="1:16" ht="15" thickBot="1" x14ac:dyDescent="0.35">
      <c r="A6" s="9">
        <v>38626</v>
      </c>
      <c r="B6" s="3">
        <v>21.9</v>
      </c>
      <c r="C6" s="12">
        <v>10440.07</v>
      </c>
      <c r="D6" s="3">
        <v>59.76</v>
      </c>
      <c r="E6" s="3">
        <v>12.205</v>
      </c>
      <c r="F6" t="e">
        <f>VLOOKUP(A6,[1]edited!$C:$D,2,0)</f>
        <v>#N/A</v>
      </c>
      <c r="H6">
        <f>VLOOKUP(A6,[2]Sheet1!$A:$L,2,0)</f>
        <v>102.5411</v>
      </c>
      <c r="I6">
        <f>VLOOKUP(A6,[2]Sheet1!$A:$L,3,0)</f>
        <v>77.687600000000003</v>
      </c>
      <c r="J6">
        <f>VLOOKUP(A6,[2]Sheet1!$A:$L,6,0)</f>
        <v>85.841099999999997</v>
      </c>
      <c r="K6">
        <f>VLOOKUP(A6,[2]Sheet1!$A:$L,7,0)</f>
        <v>111.4863</v>
      </c>
      <c r="L6">
        <f>VLOOKUP(A6,[2]Sheet1!$A:$L,8,0)</f>
        <v>111.6456</v>
      </c>
    </row>
    <row r="7" spans="1:16" ht="15" thickBot="1" x14ac:dyDescent="0.35">
      <c r="A7" s="9">
        <v>38657</v>
      </c>
      <c r="B7" s="3">
        <v>20.149999999999999</v>
      </c>
      <c r="C7" s="12">
        <v>10805.87</v>
      </c>
      <c r="D7" s="3">
        <v>57.32</v>
      </c>
      <c r="E7" s="3">
        <v>12.587</v>
      </c>
      <c r="F7" t="e">
        <f>VLOOKUP(A7,[1]edited!$C:$D,2,0)</f>
        <v>#N/A</v>
      </c>
      <c r="H7">
        <f>VLOOKUP(A7,[2]Sheet1!$A:$L,2,0)</f>
        <v>103.43980000000001</v>
      </c>
      <c r="I7">
        <f>VLOOKUP(A7,[2]Sheet1!$A:$L,3,0)</f>
        <v>81.122299999999996</v>
      </c>
      <c r="J7">
        <f>VLOOKUP(A7,[2]Sheet1!$A:$L,6,0)</f>
        <v>91.670599999999993</v>
      </c>
      <c r="K7">
        <f>VLOOKUP(A7,[2]Sheet1!$A:$L,7,0)</f>
        <v>115.1645</v>
      </c>
      <c r="L7">
        <f>VLOOKUP(A7,[2]Sheet1!$A:$L,8,0)</f>
        <v>112.54179999999999</v>
      </c>
    </row>
    <row r="8" spans="1:16" ht="15" thickBot="1" x14ac:dyDescent="0.35">
      <c r="A8" s="9">
        <v>38687</v>
      </c>
      <c r="B8" s="3">
        <v>22.1</v>
      </c>
      <c r="C8" s="12">
        <v>10717.5</v>
      </c>
      <c r="D8" s="3">
        <v>61.04</v>
      </c>
      <c r="E8" s="3">
        <v>11.225</v>
      </c>
      <c r="F8">
        <f>VLOOKUP(A8,[1]edited!$C:$D,2,0)</f>
        <v>13324.2</v>
      </c>
      <c r="H8">
        <f>VLOOKUP(A8,[2]Sheet1!$A:$L,2,0)</f>
        <v>103.55110000000001</v>
      </c>
      <c r="I8">
        <f>VLOOKUP(A8,[2]Sheet1!$A:$L,3,0)</f>
        <v>82.366100000000003</v>
      </c>
      <c r="J8">
        <f>VLOOKUP(A8,[2]Sheet1!$A:$L,6,0)</f>
        <v>91.816800000000001</v>
      </c>
      <c r="K8">
        <f>VLOOKUP(A8,[2]Sheet1!$A:$L,7,0)</f>
        <v>116.5468</v>
      </c>
      <c r="L8">
        <f>VLOOKUP(A8,[2]Sheet1!$A:$L,8,0)</f>
        <v>113.55419999999999</v>
      </c>
    </row>
    <row r="9" spans="1:16" ht="15" thickBot="1" x14ac:dyDescent="0.35">
      <c r="A9" s="9">
        <v>38718</v>
      </c>
      <c r="B9" s="3">
        <v>27.55</v>
      </c>
      <c r="C9" s="12">
        <v>10864.86</v>
      </c>
      <c r="D9" s="3">
        <v>67.92</v>
      </c>
      <c r="E9" s="3">
        <v>9.3160000000000007</v>
      </c>
      <c r="F9" t="e">
        <f>VLOOKUP(A9,[1]edited!$C:$D,2,0)</f>
        <v>#N/A</v>
      </c>
      <c r="G9">
        <v>20.192238</v>
      </c>
      <c r="H9">
        <f>VLOOKUP(A9,[2]Sheet1!$A:$L,2,0)</f>
        <v>104.3573</v>
      </c>
      <c r="I9">
        <f>VLOOKUP(A9,[2]Sheet1!$A:$L,3,0)</f>
        <v>84.238</v>
      </c>
      <c r="J9">
        <f>VLOOKUP(A9,[2]Sheet1!$A:$L,6,0)</f>
        <v>92.717200000000005</v>
      </c>
      <c r="K9">
        <f>VLOOKUP(A9,[2]Sheet1!$A:$L,7,0)</f>
        <v>117.80589999999999</v>
      </c>
      <c r="L9">
        <f>VLOOKUP(A9,[2]Sheet1!$A:$L,8,0)</f>
        <v>113.17100000000001</v>
      </c>
      <c r="P9" s="14"/>
    </row>
    <row r="10" spans="1:16" ht="15" thickBot="1" x14ac:dyDescent="0.35">
      <c r="A10" s="9">
        <v>38749</v>
      </c>
      <c r="B10" s="3">
        <v>27.4</v>
      </c>
      <c r="C10" s="12">
        <v>10993.41</v>
      </c>
      <c r="D10" s="3">
        <v>61.41</v>
      </c>
      <c r="E10" s="3">
        <v>6.7140000000000004</v>
      </c>
      <c r="F10" t="e">
        <f>VLOOKUP(A10,[1]edited!$C:$D,2,0)</f>
        <v>#N/A</v>
      </c>
      <c r="H10">
        <f>VLOOKUP(A10,[2]Sheet1!$A:$L,2,0)</f>
        <v>104.08969999999999</v>
      </c>
      <c r="I10">
        <f>VLOOKUP(A10,[2]Sheet1!$A:$L,3,0)</f>
        <v>83.959100000000007</v>
      </c>
      <c r="J10">
        <f>VLOOKUP(A10,[2]Sheet1!$A:$L,6,0)</f>
        <v>93.176100000000005</v>
      </c>
      <c r="K10">
        <f>VLOOKUP(A10,[2]Sheet1!$A:$L,7,0)</f>
        <v>117.5309</v>
      </c>
      <c r="L10">
        <f>VLOOKUP(A10,[2]Sheet1!$A:$L,8,0)</f>
        <v>112.9036</v>
      </c>
      <c r="P10" s="14"/>
    </row>
    <row r="11" spans="1:16" ht="15" thickBot="1" x14ac:dyDescent="0.35">
      <c r="A11" s="9">
        <v>38777</v>
      </c>
      <c r="B11" s="3">
        <v>28.4</v>
      </c>
      <c r="C11" s="12">
        <v>11109.32</v>
      </c>
      <c r="D11" s="3">
        <v>66.63</v>
      </c>
      <c r="E11" s="3">
        <v>7.21</v>
      </c>
      <c r="F11">
        <f>VLOOKUP(A11,[1]edited!$C:$D,2,0)</f>
        <v>13599.2</v>
      </c>
      <c r="H11">
        <f>VLOOKUP(A11,[2]Sheet1!$A:$L,2,0)</f>
        <v>104.05840000000001</v>
      </c>
      <c r="I11">
        <f>VLOOKUP(A11,[2]Sheet1!$A:$L,3,0)</f>
        <v>84.009399999999999</v>
      </c>
      <c r="J11">
        <f>VLOOKUP(A11,[2]Sheet1!$A:$L,6,0)</f>
        <v>90.745500000000007</v>
      </c>
      <c r="K11">
        <f>VLOOKUP(A11,[2]Sheet1!$A:$L,7,0)</f>
        <v>117.982</v>
      </c>
      <c r="L11">
        <f>VLOOKUP(A11,[2]Sheet1!$A:$L,8,0)</f>
        <v>113.12609999999999</v>
      </c>
      <c r="P11" s="14"/>
    </row>
    <row r="12" spans="1:16" ht="15" thickBot="1" x14ac:dyDescent="0.35">
      <c r="A12" s="9">
        <v>38808</v>
      </c>
      <c r="B12" s="3">
        <v>14.25</v>
      </c>
      <c r="C12" s="12">
        <v>11367.14</v>
      </c>
      <c r="D12" s="3">
        <v>71.88</v>
      </c>
      <c r="E12" s="3">
        <v>6.5549999999999997</v>
      </c>
      <c r="F12" t="e">
        <f>VLOOKUP(A12,[1]edited!$C:$D,2,0)</f>
        <v>#N/A</v>
      </c>
      <c r="H12">
        <f>VLOOKUP(A12,[2]Sheet1!$A:$L,2,0)</f>
        <v>104.4195</v>
      </c>
      <c r="I12">
        <f>VLOOKUP(A12,[2]Sheet1!$A:$L,3,0)</f>
        <v>84.671300000000002</v>
      </c>
      <c r="J12">
        <f>VLOOKUP(A12,[2]Sheet1!$A:$L,6,0)</f>
        <v>90.0321</v>
      </c>
      <c r="K12">
        <f>VLOOKUP(A12,[2]Sheet1!$A:$L,7,0)</f>
        <v>118.63760000000001</v>
      </c>
      <c r="L12">
        <f>VLOOKUP(A12,[2]Sheet1!$A:$L,8,0)</f>
        <v>113.29730000000001</v>
      </c>
      <c r="P12" s="14"/>
    </row>
    <row r="13" spans="1:16" ht="15" thickBot="1" x14ac:dyDescent="0.35">
      <c r="A13" s="9">
        <v>38838</v>
      </c>
      <c r="B13" s="3">
        <v>17.399999999999999</v>
      </c>
      <c r="C13" s="12">
        <v>11168.31</v>
      </c>
      <c r="D13" s="3">
        <v>71.290000000000006</v>
      </c>
      <c r="E13" s="3">
        <v>6.3840000000000003</v>
      </c>
      <c r="F13" t="e">
        <f>VLOOKUP(A13,[1]edited!$C:$D,2,0)</f>
        <v>#N/A</v>
      </c>
      <c r="H13">
        <f>VLOOKUP(A13,[2]Sheet1!$A:$L,2,0)</f>
        <v>104.1679</v>
      </c>
      <c r="I13">
        <f>VLOOKUP(A13,[2]Sheet1!$A:$L,3,0)</f>
        <v>85.102199999999996</v>
      </c>
      <c r="J13">
        <f>VLOOKUP(A13,[2]Sheet1!$A:$L,6,0)</f>
        <v>92.851900000000001</v>
      </c>
      <c r="K13">
        <f>VLOOKUP(A13,[2]Sheet1!$A:$L,7,0)</f>
        <v>118.70699999999999</v>
      </c>
      <c r="L13">
        <f>VLOOKUP(A13,[2]Sheet1!$A:$L,8,0)</f>
        <v>111.9954</v>
      </c>
      <c r="P13" s="14"/>
    </row>
    <row r="14" spans="1:16" ht="15" thickBot="1" x14ac:dyDescent="0.35">
      <c r="A14" s="9">
        <v>38869</v>
      </c>
      <c r="B14" s="3">
        <v>16.55</v>
      </c>
      <c r="C14" s="12">
        <v>11150.22</v>
      </c>
      <c r="D14" s="3">
        <v>73.930000000000007</v>
      </c>
      <c r="E14" s="3">
        <v>6.1040000000000001</v>
      </c>
      <c r="F14">
        <f>VLOOKUP(A14,[1]edited!$C:$D,2,0)</f>
        <v>13753.4</v>
      </c>
      <c r="H14">
        <f>VLOOKUP(A14,[2]Sheet1!$A:$L,2,0)</f>
        <v>104.4804</v>
      </c>
      <c r="I14">
        <f>VLOOKUP(A14,[2]Sheet1!$A:$L,3,0)</f>
        <v>85.5565</v>
      </c>
      <c r="J14">
        <f>VLOOKUP(A14,[2]Sheet1!$A:$L,6,0)</f>
        <v>94.921099999999996</v>
      </c>
      <c r="K14">
        <f>VLOOKUP(A14,[2]Sheet1!$A:$L,7,0)</f>
        <v>119.5932</v>
      </c>
      <c r="L14">
        <f>VLOOKUP(A14,[2]Sheet1!$A:$L,8,0)</f>
        <v>111.17529999999999</v>
      </c>
      <c r="P14" s="14"/>
    </row>
    <row r="15" spans="1:16" ht="15" thickBot="1" x14ac:dyDescent="0.35">
      <c r="A15" s="9">
        <v>38899</v>
      </c>
      <c r="B15" s="3">
        <v>16.850000000000001</v>
      </c>
      <c r="C15" s="12">
        <v>11185.68</v>
      </c>
      <c r="D15" s="3">
        <v>74.400000000000006</v>
      </c>
      <c r="E15" s="3">
        <v>8.2110000000000003</v>
      </c>
      <c r="F15" t="e">
        <f>VLOOKUP(A15,[1]edited!$C:$D,2,0)</f>
        <v>#N/A</v>
      </c>
      <c r="H15">
        <f>VLOOKUP(A15,[2]Sheet1!$A:$L,2,0)</f>
        <v>104.12779999999999</v>
      </c>
      <c r="I15">
        <f>VLOOKUP(A15,[2]Sheet1!$A:$L,3,0)</f>
        <v>86.140900000000002</v>
      </c>
      <c r="J15">
        <f>VLOOKUP(A15,[2]Sheet1!$A:$L,6,0)</f>
        <v>94.445300000000003</v>
      </c>
      <c r="K15">
        <f>VLOOKUP(A15,[2]Sheet1!$A:$L,7,0)</f>
        <v>120.1144</v>
      </c>
      <c r="L15">
        <f>VLOOKUP(A15,[2]Sheet1!$A:$L,8,0)</f>
        <v>111.3785</v>
      </c>
      <c r="P15" s="14"/>
    </row>
    <row r="16" spans="1:16" ht="15" thickBot="1" x14ac:dyDescent="0.35">
      <c r="A16" s="9">
        <v>38930</v>
      </c>
      <c r="B16" s="3">
        <v>16.5</v>
      </c>
      <c r="C16" s="12">
        <v>11381.15</v>
      </c>
      <c r="D16" s="3">
        <v>70.260000000000005</v>
      </c>
      <c r="E16" s="3">
        <v>6.048</v>
      </c>
      <c r="F16" t="e">
        <f>VLOOKUP(A16,[1]edited!$C:$D,2,0)</f>
        <v>#N/A</v>
      </c>
      <c r="H16">
        <f>VLOOKUP(A16,[2]Sheet1!$A:$L,2,0)</f>
        <v>104.8715</v>
      </c>
      <c r="I16">
        <f>VLOOKUP(A16,[2]Sheet1!$A:$L,3,0)</f>
        <v>86.243099999999998</v>
      </c>
      <c r="J16">
        <f>VLOOKUP(A16,[2]Sheet1!$A:$L,6,0)</f>
        <v>96.008099999999999</v>
      </c>
      <c r="K16">
        <f>VLOOKUP(A16,[2]Sheet1!$A:$L,7,0)</f>
        <v>121.17700000000001</v>
      </c>
      <c r="L16">
        <f>VLOOKUP(A16,[2]Sheet1!$A:$L,8,0)</f>
        <v>110.30329999999999</v>
      </c>
      <c r="P16" s="14"/>
    </row>
    <row r="17" spans="1:16" ht="15" thickBot="1" x14ac:dyDescent="0.35">
      <c r="A17" s="9">
        <v>38961</v>
      </c>
      <c r="B17" s="3">
        <v>13.3</v>
      </c>
      <c r="C17" s="12">
        <v>11679.07</v>
      </c>
      <c r="D17" s="3">
        <v>62.91</v>
      </c>
      <c r="E17" s="3">
        <v>5.62</v>
      </c>
      <c r="F17">
        <f>VLOOKUP(A17,[1]edited!$C:$D,2,0)</f>
        <v>13870.2</v>
      </c>
      <c r="H17">
        <f>VLOOKUP(A17,[2]Sheet1!$A:$L,2,0)</f>
        <v>104.9421</v>
      </c>
      <c r="I17">
        <f>VLOOKUP(A17,[2]Sheet1!$A:$L,3,0)</f>
        <v>86.485600000000005</v>
      </c>
      <c r="J17">
        <f>VLOOKUP(A17,[2]Sheet1!$A:$L,6,0)</f>
        <v>98.264899999999997</v>
      </c>
      <c r="K17">
        <f>VLOOKUP(A17,[2]Sheet1!$A:$L,7,0)</f>
        <v>121.5254</v>
      </c>
      <c r="L17">
        <f>VLOOKUP(A17,[2]Sheet1!$A:$L,8,0)</f>
        <v>109.84829999999999</v>
      </c>
      <c r="P17" s="14"/>
    </row>
    <row r="18" spans="1:16" ht="15" thickBot="1" x14ac:dyDescent="0.35">
      <c r="A18" s="9">
        <v>38991</v>
      </c>
      <c r="B18" s="3">
        <v>11.25</v>
      </c>
      <c r="C18" s="12">
        <v>12080.73</v>
      </c>
      <c r="D18" s="3">
        <v>58.73</v>
      </c>
      <c r="E18" s="3">
        <v>7.5339999999999998</v>
      </c>
      <c r="F18" t="e">
        <f>VLOOKUP(A18,[1]edited!$C:$D,2,0)</f>
        <v>#N/A</v>
      </c>
      <c r="H18">
        <f>VLOOKUP(A18,[2]Sheet1!$A:$L,2,0)</f>
        <v>104.477</v>
      </c>
      <c r="I18">
        <f>VLOOKUP(A18,[2]Sheet1!$A:$L,3,0)</f>
        <v>86.8245</v>
      </c>
      <c r="J18">
        <f>VLOOKUP(A18,[2]Sheet1!$A:$L,6,0)</f>
        <v>96.077299999999994</v>
      </c>
      <c r="K18">
        <f>VLOOKUP(A18,[2]Sheet1!$A:$L,7,0)</f>
        <v>121.05540000000001</v>
      </c>
      <c r="L18">
        <f>VLOOKUP(A18,[2]Sheet1!$A:$L,8,0)</f>
        <v>108.432</v>
      </c>
      <c r="P18" s="14"/>
    </row>
    <row r="19" spans="1:16" ht="15" thickBot="1" x14ac:dyDescent="0.35">
      <c r="A19" s="9">
        <v>39022</v>
      </c>
      <c r="B19" s="3">
        <v>8.1999999999999993</v>
      </c>
      <c r="C19" s="12">
        <v>12221.93</v>
      </c>
      <c r="D19" s="3">
        <v>63.13</v>
      </c>
      <c r="E19" s="3">
        <v>8.8439999999999994</v>
      </c>
      <c r="F19" t="e">
        <f>VLOOKUP(A19,[1]edited!$C:$D,2,0)</f>
        <v>#N/A</v>
      </c>
      <c r="H19">
        <f>VLOOKUP(A19,[2]Sheet1!$A:$L,2,0)</f>
        <v>104.6157</v>
      </c>
      <c r="I19">
        <f>VLOOKUP(A19,[2]Sheet1!$A:$L,3,0)</f>
        <v>85.7821</v>
      </c>
      <c r="J19">
        <f>VLOOKUP(A19,[2]Sheet1!$A:$L,6,0)</f>
        <v>95.183800000000005</v>
      </c>
      <c r="K19">
        <f>VLOOKUP(A19,[2]Sheet1!$A:$L,7,0)</f>
        <v>120.60120000000001</v>
      </c>
      <c r="L19">
        <f>VLOOKUP(A19,[2]Sheet1!$A:$L,8,0)</f>
        <v>106.6619</v>
      </c>
      <c r="P19" s="14"/>
    </row>
    <row r="20" spans="1:16" ht="15" thickBot="1" x14ac:dyDescent="0.35">
      <c r="A20" s="9">
        <v>39052</v>
      </c>
      <c r="B20" s="3">
        <v>6.6</v>
      </c>
      <c r="C20" s="12">
        <v>12463.15</v>
      </c>
      <c r="D20" s="3">
        <v>61.05</v>
      </c>
      <c r="E20" s="3">
        <v>6.2990000000000004</v>
      </c>
      <c r="F20">
        <f>VLOOKUP(A20,[1]edited!$C:$D,2,0)</f>
        <v>14039.6</v>
      </c>
      <c r="H20">
        <f>VLOOKUP(A20,[2]Sheet1!$A:$L,2,0)</f>
        <v>106.1347</v>
      </c>
      <c r="I20">
        <f>VLOOKUP(A20,[2]Sheet1!$A:$L,3,0)</f>
        <v>87.045900000000003</v>
      </c>
      <c r="J20">
        <f>VLOOKUP(A20,[2]Sheet1!$A:$L,6,0)</f>
        <v>96.283799999999999</v>
      </c>
      <c r="K20">
        <f>VLOOKUP(A20,[2]Sheet1!$A:$L,7,0)</f>
        <v>123.9618</v>
      </c>
      <c r="L20">
        <f>VLOOKUP(A20,[2]Sheet1!$A:$L,8,0)</f>
        <v>108.2764</v>
      </c>
      <c r="P20" s="14"/>
    </row>
    <row r="21" spans="1:16" ht="15" thickBot="1" x14ac:dyDescent="0.35">
      <c r="A21" s="9">
        <v>39083</v>
      </c>
      <c r="B21" s="3">
        <v>2.35</v>
      </c>
      <c r="C21" s="12">
        <v>12621.69</v>
      </c>
      <c r="D21" s="3">
        <v>58.14</v>
      </c>
      <c r="E21" s="3">
        <v>7.6669999999999998</v>
      </c>
      <c r="F21" t="e">
        <f>VLOOKUP(A21,[1]edited!$C:$D,2,0)</f>
        <v>#N/A</v>
      </c>
      <c r="G21">
        <v>20.248577000000001</v>
      </c>
      <c r="H21">
        <f>VLOOKUP(A21,[2]Sheet1!$A:$L,2,0)</f>
        <v>105.7684</v>
      </c>
      <c r="I21">
        <f>VLOOKUP(A21,[2]Sheet1!$A:$L,3,0)</f>
        <v>86.164900000000003</v>
      </c>
      <c r="J21">
        <f>VLOOKUP(A21,[2]Sheet1!$A:$L,6,0)</f>
        <v>97.927499999999995</v>
      </c>
      <c r="K21">
        <f>VLOOKUP(A21,[2]Sheet1!$A:$L,7,0)</f>
        <v>123.5312</v>
      </c>
      <c r="L21">
        <f>VLOOKUP(A21,[2]Sheet1!$A:$L,8,0)</f>
        <v>109.1066</v>
      </c>
      <c r="P21" s="14"/>
    </row>
    <row r="22" spans="1:16" ht="15" thickBot="1" x14ac:dyDescent="0.35">
      <c r="A22" s="9">
        <v>39114</v>
      </c>
      <c r="B22" s="3">
        <v>0.95</v>
      </c>
      <c r="C22" s="12">
        <v>12268.63</v>
      </c>
      <c r="D22" s="3">
        <v>61.79</v>
      </c>
      <c r="E22" s="3">
        <v>7.3</v>
      </c>
      <c r="F22" t="e">
        <f>VLOOKUP(A22,[1]edited!$C:$D,2,0)</f>
        <v>#N/A</v>
      </c>
      <c r="H22">
        <f>VLOOKUP(A22,[2]Sheet1!$A:$L,2,0)</f>
        <v>106.13849999999999</v>
      </c>
      <c r="I22">
        <f>VLOOKUP(A22,[2]Sheet1!$A:$L,3,0)</f>
        <v>86.746200000000002</v>
      </c>
      <c r="J22">
        <f>VLOOKUP(A22,[2]Sheet1!$A:$L,6,0)</f>
        <v>96.443600000000004</v>
      </c>
      <c r="K22">
        <f>VLOOKUP(A22,[2]Sheet1!$A:$L,7,0)</f>
        <v>124.2585</v>
      </c>
      <c r="L22">
        <f>VLOOKUP(A22,[2]Sheet1!$A:$L,8,0)</f>
        <v>107.0856</v>
      </c>
      <c r="P22" s="14"/>
    </row>
    <row r="23" spans="1:16" ht="15" thickBot="1" x14ac:dyDescent="0.35">
      <c r="A23" s="9">
        <v>39142</v>
      </c>
      <c r="B23" s="3">
        <v>1.31</v>
      </c>
      <c r="C23" s="12">
        <v>12354.35</v>
      </c>
      <c r="D23" s="3">
        <v>65.87</v>
      </c>
      <c r="E23" s="3">
        <v>7.73</v>
      </c>
      <c r="F23">
        <f>VLOOKUP(A23,[1]edited!$C:$D,2,0)</f>
        <v>14215.7</v>
      </c>
      <c r="H23">
        <f>VLOOKUP(A23,[2]Sheet1!$A:$L,2,0)</f>
        <v>106.9975</v>
      </c>
      <c r="I23">
        <f>VLOOKUP(A23,[2]Sheet1!$A:$L,3,0)</f>
        <v>86.920599999999993</v>
      </c>
      <c r="J23">
        <f>VLOOKUP(A23,[2]Sheet1!$A:$L,6,0)</f>
        <v>97.906099999999995</v>
      </c>
      <c r="K23">
        <f>VLOOKUP(A23,[2]Sheet1!$A:$L,7,0)</f>
        <v>125.4675</v>
      </c>
      <c r="L23">
        <f>VLOOKUP(A23,[2]Sheet1!$A:$L,8,0)</f>
        <v>107.6908</v>
      </c>
      <c r="P23" s="14"/>
    </row>
    <row r="24" spans="1:16" ht="15" thickBot="1" x14ac:dyDescent="0.35">
      <c r="A24" s="9">
        <v>39173</v>
      </c>
      <c r="B24" s="3">
        <v>0.53</v>
      </c>
      <c r="C24" s="12">
        <v>13062.91</v>
      </c>
      <c r="D24" s="3">
        <v>65.709999999999994</v>
      </c>
      <c r="E24" s="3">
        <v>7.8630000000000004</v>
      </c>
      <c r="F24" t="e">
        <f>VLOOKUP(A24,[1]edited!$C:$D,2,0)</f>
        <v>#N/A</v>
      </c>
      <c r="H24">
        <f>VLOOKUP(A24,[2]Sheet1!$A:$L,2,0)</f>
        <v>107.67449999999999</v>
      </c>
      <c r="I24">
        <f>VLOOKUP(A24,[2]Sheet1!$A:$L,3,0)</f>
        <v>87.281400000000005</v>
      </c>
      <c r="J24">
        <f>VLOOKUP(A24,[2]Sheet1!$A:$L,6,0)</f>
        <v>96.212000000000003</v>
      </c>
      <c r="K24">
        <f>VLOOKUP(A24,[2]Sheet1!$A:$L,7,0)</f>
        <v>125.9111</v>
      </c>
      <c r="L24">
        <f>VLOOKUP(A24,[2]Sheet1!$A:$L,8,0)</f>
        <v>108.29989999999999</v>
      </c>
      <c r="P24" s="14"/>
    </row>
    <row r="25" spans="1:16" ht="15" thickBot="1" x14ac:dyDescent="0.35">
      <c r="A25" s="9">
        <v>39203</v>
      </c>
      <c r="B25" s="3">
        <v>0.28999999999999998</v>
      </c>
      <c r="C25" s="12">
        <v>13627.64</v>
      </c>
      <c r="D25" s="3">
        <v>64.010000000000005</v>
      </c>
      <c r="E25" s="3">
        <v>7.9349999999999996</v>
      </c>
      <c r="F25" t="e">
        <f>VLOOKUP(A25,[1]edited!$C:$D,2,0)</f>
        <v>#N/A</v>
      </c>
      <c r="H25">
        <f>VLOOKUP(A25,[2]Sheet1!$A:$L,2,0)</f>
        <v>107.5804</v>
      </c>
      <c r="I25">
        <f>VLOOKUP(A25,[2]Sheet1!$A:$L,3,0)</f>
        <v>87.856899999999996</v>
      </c>
      <c r="J25">
        <f>VLOOKUP(A25,[2]Sheet1!$A:$L,6,0)</f>
        <v>97.658199999999994</v>
      </c>
      <c r="K25">
        <f>VLOOKUP(A25,[2]Sheet1!$A:$L,7,0)</f>
        <v>125.71810000000001</v>
      </c>
      <c r="L25">
        <f>VLOOKUP(A25,[2]Sheet1!$A:$L,8,0)</f>
        <v>108.17740000000001</v>
      </c>
      <c r="P25" s="14"/>
    </row>
    <row r="26" spans="1:16" ht="15" thickBot="1" x14ac:dyDescent="0.35">
      <c r="A26" s="9">
        <v>39234</v>
      </c>
      <c r="B26" s="3">
        <v>0.13</v>
      </c>
      <c r="C26" s="12">
        <v>13408.62</v>
      </c>
      <c r="D26" s="3">
        <v>70.680000000000007</v>
      </c>
      <c r="E26" s="3">
        <v>6.7729999999999997</v>
      </c>
      <c r="F26">
        <f>VLOOKUP(A26,[1]edited!$C:$D,2,0)</f>
        <v>14402.1</v>
      </c>
      <c r="H26">
        <f>VLOOKUP(A26,[2]Sheet1!$A:$L,2,0)</f>
        <v>107.92789999999999</v>
      </c>
      <c r="I26">
        <f>VLOOKUP(A26,[2]Sheet1!$A:$L,3,0)</f>
        <v>87.511600000000001</v>
      </c>
      <c r="J26">
        <f>VLOOKUP(A26,[2]Sheet1!$A:$L,6,0)</f>
        <v>97.0458</v>
      </c>
      <c r="K26">
        <f>VLOOKUP(A26,[2]Sheet1!$A:$L,7,0)</f>
        <v>126.0521</v>
      </c>
      <c r="L26">
        <f>VLOOKUP(A26,[2]Sheet1!$A:$L,8,0)</f>
        <v>108.6499</v>
      </c>
      <c r="P26" s="14"/>
    </row>
    <row r="27" spans="1:16" ht="15" thickBot="1" x14ac:dyDescent="0.35">
      <c r="A27" s="9">
        <v>39264</v>
      </c>
      <c r="B27" s="3">
        <v>0.12</v>
      </c>
      <c r="C27" s="12">
        <v>13211.99</v>
      </c>
      <c r="D27" s="3">
        <v>78.209999999999994</v>
      </c>
      <c r="E27" s="3">
        <v>6.1909999999999998</v>
      </c>
      <c r="F27" t="e">
        <f>VLOOKUP(A27,[1]edited!$C:$D,2,0)</f>
        <v>#N/A</v>
      </c>
      <c r="H27">
        <f>VLOOKUP(A27,[2]Sheet1!$A:$L,2,0)</f>
        <v>107.8657</v>
      </c>
      <c r="I27">
        <f>VLOOKUP(A27,[2]Sheet1!$A:$L,3,0)</f>
        <v>87.551900000000003</v>
      </c>
      <c r="J27">
        <f>VLOOKUP(A27,[2]Sheet1!$A:$L,6,0)</f>
        <v>96.967399999999998</v>
      </c>
      <c r="K27">
        <f>VLOOKUP(A27,[2]Sheet1!$A:$L,7,0)</f>
        <v>126.67319999999999</v>
      </c>
      <c r="L27">
        <f>VLOOKUP(A27,[2]Sheet1!$A:$L,8,0)</f>
        <v>108.1095</v>
      </c>
      <c r="P27" s="14"/>
    </row>
    <row r="28" spans="1:16" ht="15" thickBot="1" x14ac:dyDescent="0.35">
      <c r="A28" s="9">
        <v>39295</v>
      </c>
      <c r="B28" s="3">
        <v>0.1</v>
      </c>
      <c r="C28" s="12">
        <v>13357.74</v>
      </c>
      <c r="D28" s="3">
        <v>74.040000000000006</v>
      </c>
      <c r="E28" s="3">
        <v>5.468</v>
      </c>
      <c r="F28" t="e">
        <f>VLOOKUP(A28,[1]edited!$C:$D,2,0)</f>
        <v>#N/A</v>
      </c>
      <c r="H28">
        <f>VLOOKUP(A28,[2]Sheet1!$A:$L,2,0)</f>
        <v>107.5436</v>
      </c>
      <c r="I28">
        <f>VLOOKUP(A28,[2]Sheet1!$A:$L,3,0)</f>
        <v>87.431200000000004</v>
      </c>
      <c r="J28">
        <f>VLOOKUP(A28,[2]Sheet1!$A:$L,6,0)</f>
        <v>97.249399999999994</v>
      </c>
      <c r="K28">
        <f>VLOOKUP(A28,[2]Sheet1!$A:$L,7,0)</f>
        <v>126.23560000000001</v>
      </c>
      <c r="L28">
        <f>VLOOKUP(A28,[2]Sheet1!$A:$L,8,0)</f>
        <v>107.30929999999999</v>
      </c>
    </row>
    <row r="29" spans="1:16" ht="15" thickBot="1" x14ac:dyDescent="0.35">
      <c r="A29" s="9">
        <v>39326</v>
      </c>
      <c r="B29" s="3">
        <v>0.08</v>
      </c>
      <c r="C29" s="12">
        <v>13895.63</v>
      </c>
      <c r="D29" s="3">
        <v>81.66</v>
      </c>
      <c r="E29" s="3">
        <v>6.87</v>
      </c>
      <c r="F29">
        <f>VLOOKUP(A29,[1]edited!$C:$D,2,0)</f>
        <v>14564.1</v>
      </c>
      <c r="H29">
        <f>VLOOKUP(A29,[2]Sheet1!$A:$L,2,0)</f>
        <v>107.85809999999999</v>
      </c>
      <c r="I29">
        <f>VLOOKUP(A29,[2]Sheet1!$A:$L,3,0)</f>
        <v>87.756799999999998</v>
      </c>
      <c r="J29">
        <f>VLOOKUP(A29,[2]Sheet1!$A:$L,6,0)</f>
        <v>96.673299999999998</v>
      </c>
      <c r="K29">
        <f>VLOOKUP(A29,[2]Sheet1!$A:$L,7,0)</f>
        <v>126.8536</v>
      </c>
      <c r="L29">
        <f>VLOOKUP(A29,[2]Sheet1!$A:$L,8,0)</f>
        <v>108.4689</v>
      </c>
    </row>
    <row r="30" spans="1:16" ht="15" thickBot="1" x14ac:dyDescent="0.35">
      <c r="A30" s="9">
        <v>39356</v>
      </c>
      <c r="B30" s="3">
        <v>0.09</v>
      </c>
      <c r="C30" s="12">
        <v>13930.01</v>
      </c>
      <c r="D30" s="3">
        <v>94.53</v>
      </c>
      <c r="E30" s="3">
        <v>8.33</v>
      </c>
      <c r="F30" t="e">
        <f>VLOOKUP(A30,[1]edited!$C:$D,2,0)</f>
        <v>#N/A</v>
      </c>
      <c r="H30">
        <f>VLOOKUP(A30,[2]Sheet1!$A:$L,2,0)</f>
        <v>107.6656</v>
      </c>
      <c r="I30">
        <f>VLOOKUP(A30,[2]Sheet1!$A:$L,3,0)</f>
        <v>87.38</v>
      </c>
      <c r="J30">
        <f>VLOOKUP(A30,[2]Sheet1!$A:$L,6,0)</f>
        <v>96.930199999999999</v>
      </c>
      <c r="K30">
        <f>VLOOKUP(A30,[2]Sheet1!$A:$L,7,0)</f>
        <v>126.1341</v>
      </c>
      <c r="L30">
        <f>VLOOKUP(A30,[2]Sheet1!$A:$L,8,0)</f>
        <v>107.57680000000001</v>
      </c>
    </row>
    <row r="31" spans="1:16" ht="15" thickBot="1" x14ac:dyDescent="0.35">
      <c r="A31" s="9">
        <v>39387</v>
      </c>
      <c r="B31" s="3">
        <v>0.01</v>
      </c>
      <c r="C31" s="12">
        <v>13371.72</v>
      </c>
      <c r="D31" s="3">
        <v>88.71</v>
      </c>
      <c r="E31" s="3">
        <v>7.3019999999999996</v>
      </c>
      <c r="F31" t="e">
        <f>VLOOKUP(A31,[1]edited!$C:$D,2,0)</f>
        <v>#N/A</v>
      </c>
      <c r="H31">
        <f>VLOOKUP(A31,[2]Sheet1!$A:$L,2,0)</f>
        <v>108.2276</v>
      </c>
      <c r="I31">
        <f>VLOOKUP(A31,[2]Sheet1!$A:$L,3,0)</f>
        <v>88.699399999999997</v>
      </c>
      <c r="J31">
        <f>VLOOKUP(A31,[2]Sheet1!$A:$L,6,0)</f>
        <v>95.664500000000004</v>
      </c>
      <c r="K31">
        <f>VLOOKUP(A31,[2]Sheet1!$A:$L,7,0)</f>
        <v>126.5826</v>
      </c>
      <c r="L31">
        <f>VLOOKUP(A31,[2]Sheet1!$A:$L,8,0)</f>
        <v>107.2153</v>
      </c>
    </row>
    <row r="32" spans="1:16" ht="15" thickBot="1" x14ac:dyDescent="0.35">
      <c r="A32" s="9">
        <v>39417</v>
      </c>
      <c r="B32" s="3">
        <v>22.41</v>
      </c>
      <c r="C32" s="12">
        <v>13264.82</v>
      </c>
      <c r="D32" s="3">
        <v>95.98</v>
      </c>
      <c r="E32" s="3">
        <v>7.4829999999999997</v>
      </c>
      <c r="F32">
        <f>VLOOKUP(A32,[1]edited!$C:$D,2,0)</f>
        <v>14715.1</v>
      </c>
      <c r="H32">
        <f>VLOOKUP(A32,[2]Sheet1!$A:$L,2,0)</f>
        <v>108.39830000000001</v>
      </c>
      <c r="I32">
        <f>VLOOKUP(A32,[2]Sheet1!$A:$L,3,0)</f>
        <v>89.082499999999996</v>
      </c>
      <c r="J32">
        <f>VLOOKUP(A32,[2]Sheet1!$A:$L,6,0)</f>
        <v>95.802499999999995</v>
      </c>
      <c r="K32">
        <f>VLOOKUP(A32,[2]Sheet1!$A:$L,7,0)</f>
        <v>126.492</v>
      </c>
      <c r="L32">
        <f>VLOOKUP(A32,[2]Sheet1!$A:$L,8,0)</f>
        <v>106.10120000000001</v>
      </c>
    </row>
    <row r="33" spans="1:12" ht="15" thickBot="1" x14ac:dyDescent="0.35">
      <c r="A33" s="9">
        <v>39448</v>
      </c>
      <c r="B33" s="3">
        <v>19.100000000000001</v>
      </c>
      <c r="C33" s="12">
        <v>12650.36</v>
      </c>
      <c r="D33" s="3">
        <v>91.75</v>
      </c>
      <c r="E33" s="3">
        <v>8.0739999999999998</v>
      </c>
      <c r="F33" t="e">
        <f>VLOOKUP(A33,[1]edited!$C:$D,2,0)</f>
        <v>#N/A</v>
      </c>
      <c r="G33">
        <v>19.349744999999999</v>
      </c>
      <c r="H33">
        <f>VLOOKUP(A33,[2]Sheet1!$A:$L,2,0)</f>
        <v>108.18640000000001</v>
      </c>
      <c r="I33">
        <f>VLOOKUP(A33,[2]Sheet1!$A:$L,3,0)</f>
        <v>88.595600000000005</v>
      </c>
      <c r="J33">
        <f>VLOOKUP(A33,[2]Sheet1!$A:$L,6,0)</f>
        <v>96.2697</v>
      </c>
      <c r="K33">
        <f>VLOOKUP(A33,[2]Sheet1!$A:$L,7,0)</f>
        <v>125.6606</v>
      </c>
      <c r="L33">
        <f>VLOOKUP(A33,[2]Sheet1!$A:$L,8,0)</f>
        <v>104.2109</v>
      </c>
    </row>
    <row r="34" spans="1:12" ht="15" thickBot="1" x14ac:dyDescent="0.35">
      <c r="A34" s="9">
        <v>39479</v>
      </c>
      <c r="B34" s="3">
        <v>21.31</v>
      </c>
      <c r="C34" s="12">
        <v>12266.39</v>
      </c>
      <c r="D34" s="3">
        <v>101.84</v>
      </c>
      <c r="E34" s="3">
        <v>9.3659999999999997</v>
      </c>
      <c r="F34" t="e">
        <f>VLOOKUP(A34,[1]edited!$C:$D,2,0)</f>
        <v>#N/A</v>
      </c>
      <c r="H34">
        <f>VLOOKUP(A34,[2]Sheet1!$A:$L,2,0)</f>
        <v>107.4631</v>
      </c>
      <c r="I34">
        <f>VLOOKUP(A34,[2]Sheet1!$A:$L,3,0)</f>
        <v>88.356200000000001</v>
      </c>
      <c r="J34">
        <f>VLOOKUP(A34,[2]Sheet1!$A:$L,6,0)</f>
        <v>95.402100000000004</v>
      </c>
      <c r="K34">
        <f>VLOOKUP(A34,[2]Sheet1!$A:$L,7,0)</f>
        <v>123.7402</v>
      </c>
      <c r="L34">
        <f>VLOOKUP(A34,[2]Sheet1!$A:$L,8,0)</f>
        <v>103.3716</v>
      </c>
    </row>
    <row r="35" spans="1:12" ht="15" thickBot="1" x14ac:dyDescent="0.35">
      <c r="A35" s="9">
        <v>39508</v>
      </c>
      <c r="B35" s="3">
        <v>22.27</v>
      </c>
      <c r="C35" s="12">
        <v>12262.89</v>
      </c>
      <c r="D35" s="3">
        <v>101.58</v>
      </c>
      <c r="E35" s="3">
        <v>10.101000000000001</v>
      </c>
      <c r="F35">
        <f>VLOOKUP(A35,[1]edited!$C:$D,2,0)</f>
        <v>14706.5</v>
      </c>
      <c r="H35">
        <f>VLOOKUP(A35,[2]Sheet1!$A:$L,2,0)</f>
        <v>106.99460000000001</v>
      </c>
      <c r="I35">
        <f>VLOOKUP(A35,[2]Sheet1!$A:$L,3,0)</f>
        <v>88.832400000000007</v>
      </c>
      <c r="J35">
        <f>VLOOKUP(A35,[2]Sheet1!$A:$L,6,0)</f>
        <v>93.139099999999999</v>
      </c>
      <c r="K35">
        <f>VLOOKUP(A35,[2]Sheet1!$A:$L,7,0)</f>
        <v>122.3104</v>
      </c>
      <c r="L35">
        <f>VLOOKUP(A35,[2]Sheet1!$A:$L,8,0)</f>
        <v>101.9145</v>
      </c>
    </row>
    <row r="36" spans="1:12" ht="15" thickBot="1" x14ac:dyDescent="0.35">
      <c r="A36" s="9">
        <v>39539</v>
      </c>
      <c r="B36" s="3">
        <v>23.88</v>
      </c>
      <c r="C36" s="12">
        <v>12820.13</v>
      </c>
      <c r="D36" s="3">
        <v>113.46</v>
      </c>
      <c r="E36" s="3">
        <v>10.843</v>
      </c>
      <c r="F36" t="e">
        <f>VLOOKUP(A36,[1]edited!$C:$D,2,0)</f>
        <v>#N/A</v>
      </c>
      <c r="H36">
        <f>VLOOKUP(A36,[2]Sheet1!$A:$L,2,0)</f>
        <v>105.89879999999999</v>
      </c>
      <c r="I36">
        <f>VLOOKUP(A36,[2]Sheet1!$A:$L,3,0)</f>
        <v>88.684899999999999</v>
      </c>
      <c r="J36">
        <f>VLOOKUP(A36,[2]Sheet1!$A:$L,6,0)</f>
        <v>93.766599999999997</v>
      </c>
      <c r="K36">
        <f>VLOOKUP(A36,[2]Sheet1!$A:$L,7,0)</f>
        <v>121.02119999999999</v>
      </c>
      <c r="L36">
        <f>VLOOKUP(A36,[2]Sheet1!$A:$L,8,0)</f>
        <v>100.702</v>
      </c>
    </row>
    <row r="37" spans="1:12" ht="15" thickBot="1" x14ac:dyDescent="0.35">
      <c r="A37" s="9">
        <v>39569</v>
      </c>
      <c r="B37" s="3">
        <v>26.1</v>
      </c>
      <c r="C37" s="12">
        <v>12638.32</v>
      </c>
      <c r="D37" s="3">
        <v>127.35</v>
      </c>
      <c r="E37" s="3">
        <v>11.702999999999999</v>
      </c>
      <c r="F37" t="e">
        <f>VLOOKUP(A37,[1]edited!$C:$D,2,0)</f>
        <v>#N/A</v>
      </c>
      <c r="H37">
        <f>VLOOKUP(A37,[2]Sheet1!$A:$L,2,0)</f>
        <v>105.25360000000001</v>
      </c>
      <c r="I37">
        <f>VLOOKUP(A37,[2]Sheet1!$A:$L,3,0)</f>
        <v>88.405799999999999</v>
      </c>
      <c r="J37">
        <f>VLOOKUP(A37,[2]Sheet1!$A:$L,6,0)</f>
        <v>94.105699999999999</v>
      </c>
      <c r="K37">
        <f>VLOOKUP(A37,[2]Sheet1!$A:$L,7,0)</f>
        <v>119.8951</v>
      </c>
      <c r="L37">
        <f>VLOOKUP(A37,[2]Sheet1!$A:$L,8,0)</f>
        <v>99.861900000000006</v>
      </c>
    </row>
    <row r="38" spans="1:12" ht="15" thickBot="1" x14ac:dyDescent="0.35">
      <c r="A38" s="9">
        <v>39600</v>
      </c>
      <c r="B38" s="3">
        <v>28.77</v>
      </c>
      <c r="C38" s="12">
        <v>11350.01</v>
      </c>
      <c r="D38" s="3">
        <v>140</v>
      </c>
      <c r="E38" s="3">
        <v>13.353</v>
      </c>
      <c r="F38">
        <f>VLOOKUP(A38,[1]edited!$C:$D,2,0)</f>
        <v>14865.7</v>
      </c>
      <c r="H38">
        <f>VLOOKUP(A38,[2]Sheet1!$A:$L,2,0)</f>
        <v>104.4926</v>
      </c>
      <c r="I38">
        <f>VLOOKUP(A38,[2]Sheet1!$A:$L,3,0)</f>
        <v>88.278599999999997</v>
      </c>
      <c r="J38">
        <f>VLOOKUP(A38,[2]Sheet1!$A:$L,6,0)</f>
        <v>93.2059</v>
      </c>
      <c r="K38">
        <f>VLOOKUP(A38,[2]Sheet1!$A:$L,7,0)</f>
        <v>118.48399999999999</v>
      </c>
      <c r="L38">
        <f>VLOOKUP(A38,[2]Sheet1!$A:$L,8,0)</f>
        <v>100.1764</v>
      </c>
    </row>
    <row r="39" spans="1:12" ht="15" thickBot="1" x14ac:dyDescent="0.35">
      <c r="A39" s="9">
        <v>39630</v>
      </c>
      <c r="B39" s="3">
        <v>22.06</v>
      </c>
      <c r="C39" s="12">
        <v>11378.02</v>
      </c>
      <c r="D39" s="3">
        <v>124.08</v>
      </c>
      <c r="E39" s="3">
        <v>9.1189999999999998</v>
      </c>
      <c r="F39" t="e">
        <f>VLOOKUP(A39,[1]edited!$C:$D,2,0)</f>
        <v>#N/A</v>
      </c>
      <c r="H39">
        <f>VLOOKUP(A39,[2]Sheet1!$A:$L,2,0)</f>
        <v>103.3676</v>
      </c>
      <c r="I39">
        <f>VLOOKUP(A39,[2]Sheet1!$A:$L,3,0)</f>
        <v>89.911500000000004</v>
      </c>
      <c r="J39">
        <f>VLOOKUP(A39,[2]Sheet1!$A:$L,6,0)</f>
        <v>92.651899999999998</v>
      </c>
      <c r="K39">
        <f>VLOOKUP(A39,[2]Sheet1!$A:$L,7,0)</f>
        <v>117.4285</v>
      </c>
      <c r="L39">
        <f>VLOOKUP(A39,[2]Sheet1!$A:$L,8,0)</f>
        <v>99.337699999999998</v>
      </c>
    </row>
    <row r="40" spans="1:12" ht="15" thickBot="1" x14ac:dyDescent="0.35">
      <c r="A40" s="9">
        <v>39661</v>
      </c>
      <c r="B40" s="3">
        <v>25.19</v>
      </c>
      <c r="C40" s="12">
        <v>11543.55</v>
      </c>
      <c r="D40" s="3">
        <v>115.46</v>
      </c>
      <c r="E40" s="3">
        <v>7.9429999999999996</v>
      </c>
      <c r="F40" t="e">
        <f>VLOOKUP(A40,[1]edited!$C:$D,2,0)</f>
        <v>#N/A</v>
      </c>
      <c r="H40">
        <f>VLOOKUP(A40,[2]Sheet1!$A:$L,2,0)</f>
        <v>102.03440000000001</v>
      </c>
      <c r="I40">
        <f>VLOOKUP(A40,[2]Sheet1!$A:$L,3,0)</f>
        <v>88.515000000000001</v>
      </c>
      <c r="J40">
        <f>VLOOKUP(A40,[2]Sheet1!$A:$L,6,0)</f>
        <v>92.386799999999994</v>
      </c>
      <c r="K40">
        <f>VLOOKUP(A40,[2]Sheet1!$A:$L,7,0)</f>
        <v>115.27500000000001</v>
      </c>
      <c r="L40">
        <f>VLOOKUP(A40,[2]Sheet1!$A:$L,8,0)</f>
        <v>97.438000000000002</v>
      </c>
    </row>
    <row r="41" spans="1:12" ht="15" thickBot="1" x14ac:dyDescent="0.35">
      <c r="A41" s="9">
        <v>39692</v>
      </c>
      <c r="B41" s="3">
        <v>22.35</v>
      </c>
      <c r="C41" s="12">
        <v>10850.66</v>
      </c>
      <c r="D41" s="3">
        <v>100.64</v>
      </c>
      <c r="E41" s="3">
        <v>7.4379999999999997</v>
      </c>
      <c r="F41">
        <f>VLOOKUP(A41,[1]edited!$C:$D,2,0)</f>
        <v>14899</v>
      </c>
      <c r="H41">
        <f>VLOOKUP(A41,[2]Sheet1!$A:$L,2,0)</f>
        <v>98.543800000000005</v>
      </c>
      <c r="I41">
        <f>VLOOKUP(A41,[2]Sheet1!$A:$L,3,0)</f>
        <v>78.153899999999993</v>
      </c>
      <c r="J41">
        <f>VLOOKUP(A41,[2]Sheet1!$A:$L,6,0)</f>
        <v>82.523499999999999</v>
      </c>
      <c r="K41">
        <f>VLOOKUP(A41,[2]Sheet1!$A:$L,7,0)</f>
        <v>107.51649999999999</v>
      </c>
      <c r="L41">
        <f>VLOOKUP(A41,[2]Sheet1!$A:$L,8,0)</f>
        <v>95.7761</v>
      </c>
    </row>
    <row r="42" spans="1:12" ht="15" thickBot="1" x14ac:dyDescent="0.35">
      <c r="A42" s="9">
        <v>39722</v>
      </c>
      <c r="B42" s="3">
        <v>17.940000000000001</v>
      </c>
      <c r="C42" s="12">
        <v>9325.01</v>
      </c>
      <c r="D42" s="3">
        <v>67.81</v>
      </c>
      <c r="E42" s="3">
        <v>6.7830000000000004</v>
      </c>
      <c r="F42" t="e">
        <f>VLOOKUP(A42,[1]edited!$C:$D,2,0)</f>
        <v>#N/A</v>
      </c>
      <c r="H42">
        <f>VLOOKUP(A42,[2]Sheet1!$A:$L,2,0)</f>
        <v>97.906499999999994</v>
      </c>
      <c r="I42">
        <f>VLOOKUP(A42,[2]Sheet1!$A:$L,3,0)</f>
        <v>85.045100000000005</v>
      </c>
      <c r="J42">
        <f>VLOOKUP(A42,[2]Sheet1!$A:$L,6,0)</f>
        <v>94.235299999999995</v>
      </c>
      <c r="K42">
        <f>VLOOKUP(A42,[2]Sheet1!$A:$L,7,0)</f>
        <v>112.3005</v>
      </c>
      <c r="L42">
        <f>VLOOKUP(A42,[2]Sheet1!$A:$L,8,0)</f>
        <v>93.042299999999997</v>
      </c>
    </row>
    <row r="43" spans="1:12" ht="15" thickBot="1" x14ac:dyDescent="0.35">
      <c r="A43" s="9">
        <v>39753</v>
      </c>
      <c r="B43" s="3">
        <v>15.52</v>
      </c>
      <c r="C43" s="12">
        <v>8829.0400000000009</v>
      </c>
      <c r="D43" s="3">
        <v>54.43</v>
      </c>
      <c r="E43" s="3">
        <v>6.51</v>
      </c>
      <c r="F43" t="e">
        <f>VLOOKUP(A43,[1]edited!$C:$D,2,0)</f>
        <v>#N/A</v>
      </c>
      <c r="H43">
        <f>VLOOKUP(A43,[2]Sheet1!$A:$L,2,0)</f>
        <v>95.486699999999999</v>
      </c>
      <c r="I43">
        <f>VLOOKUP(A43,[2]Sheet1!$A:$L,3,0)</f>
        <v>85.712500000000006</v>
      </c>
      <c r="J43">
        <f>VLOOKUP(A43,[2]Sheet1!$A:$L,6,0)</f>
        <v>91.959100000000007</v>
      </c>
      <c r="K43">
        <f>VLOOKUP(A43,[2]Sheet1!$A:$L,7,0)</f>
        <v>108.9693</v>
      </c>
      <c r="L43">
        <f>VLOOKUP(A43,[2]Sheet1!$A:$L,8,0)</f>
        <v>90.426599999999993</v>
      </c>
    </row>
    <row r="44" spans="1:12" ht="15" thickBot="1" x14ac:dyDescent="0.35">
      <c r="A44" s="9">
        <v>39783</v>
      </c>
      <c r="B44" s="3">
        <v>15.45</v>
      </c>
      <c r="C44" s="12">
        <v>8776.39</v>
      </c>
      <c r="D44" s="3">
        <v>44.6</v>
      </c>
      <c r="E44" s="3">
        <v>5.6219999999999999</v>
      </c>
      <c r="F44">
        <f>VLOOKUP(A44,[1]edited!$C:$D,2,0)</f>
        <v>14608.2</v>
      </c>
      <c r="H44">
        <f>VLOOKUP(A44,[2]Sheet1!$A:$L,2,0)</f>
        <v>92.271699999999996</v>
      </c>
      <c r="I44">
        <f>VLOOKUP(A44,[2]Sheet1!$A:$L,3,0)</f>
        <v>83.251199999999997</v>
      </c>
      <c r="J44">
        <f>VLOOKUP(A44,[2]Sheet1!$A:$L,6,0)</f>
        <v>91.419399999999996</v>
      </c>
      <c r="K44">
        <f>VLOOKUP(A44,[2]Sheet1!$A:$L,7,0)</f>
        <v>103.7426</v>
      </c>
      <c r="L44">
        <f>VLOOKUP(A44,[2]Sheet1!$A:$L,8,0)</f>
        <v>85.939899999999994</v>
      </c>
    </row>
    <row r="45" spans="1:12" ht="15" thickBot="1" x14ac:dyDescent="0.35">
      <c r="A45" s="9">
        <v>39814</v>
      </c>
      <c r="B45" s="3">
        <v>11.57</v>
      </c>
      <c r="C45" s="12">
        <v>8000.86</v>
      </c>
      <c r="D45" s="3">
        <v>41.68</v>
      </c>
      <c r="E45" s="3">
        <v>4.4169999999999998</v>
      </c>
      <c r="F45" t="e">
        <f>VLOOKUP(A45,[1]edited!$C:$D,2,0)</f>
        <v>#N/A</v>
      </c>
      <c r="G45">
        <v>17.765029999999999</v>
      </c>
      <c r="H45">
        <f>VLOOKUP(A45,[2]Sheet1!$A:$L,2,0)</f>
        <v>89.301400000000001</v>
      </c>
      <c r="I45">
        <f>VLOOKUP(A45,[2]Sheet1!$A:$L,3,0)</f>
        <v>82.514200000000002</v>
      </c>
      <c r="J45">
        <f>VLOOKUP(A45,[2]Sheet1!$A:$L,6,0)</f>
        <v>89.830600000000004</v>
      </c>
      <c r="K45">
        <f>VLOOKUP(A45,[2]Sheet1!$A:$L,7,0)</f>
        <v>103.8685</v>
      </c>
      <c r="L45">
        <f>VLOOKUP(A45,[2]Sheet1!$A:$L,8,0)</f>
        <v>84.338200000000001</v>
      </c>
    </row>
    <row r="46" spans="1:12" ht="15" thickBot="1" x14ac:dyDescent="0.35">
      <c r="A46" s="9">
        <v>39845</v>
      </c>
      <c r="B46" s="3">
        <v>9.9600000000000009</v>
      </c>
      <c r="C46" s="12">
        <v>7062.93</v>
      </c>
      <c r="D46" s="3">
        <v>44.76</v>
      </c>
      <c r="E46" s="3">
        <v>4.1980000000000004</v>
      </c>
      <c r="F46" t="e">
        <f>VLOOKUP(A46,[1]edited!$C:$D,2,0)</f>
        <v>#N/A</v>
      </c>
      <c r="H46">
        <f>VLOOKUP(A46,[2]Sheet1!$A:$L,2,0)</f>
        <v>89.200900000000004</v>
      </c>
      <c r="I46">
        <f>VLOOKUP(A46,[2]Sheet1!$A:$L,3,0)</f>
        <v>82.198800000000006</v>
      </c>
      <c r="J46">
        <f>VLOOKUP(A46,[2]Sheet1!$A:$L,6,0)</f>
        <v>91.984800000000007</v>
      </c>
      <c r="K46">
        <f>VLOOKUP(A46,[2]Sheet1!$A:$L,7,0)</f>
        <v>103.9435</v>
      </c>
      <c r="L46">
        <f>VLOOKUP(A46,[2]Sheet1!$A:$L,8,0)</f>
        <v>82.253399999999999</v>
      </c>
    </row>
    <row r="47" spans="1:12" ht="15" thickBot="1" x14ac:dyDescent="0.35">
      <c r="A47" s="9">
        <v>39873</v>
      </c>
      <c r="B47" s="3">
        <v>11.45</v>
      </c>
      <c r="C47" s="12">
        <v>7608.92</v>
      </c>
      <c r="D47" s="3">
        <v>49.66</v>
      </c>
      <c r="E47" s="3">
        <v>3.7759999999999998</v>
      </c>
      <c r="F47">
        <f>VLOOKUP(A47,[1]edited!$C:$D,2,0)</f>
        <v>14430.9</v>
      </c>
      <c r="H47">
        <f>VLOOKUP(A47,[2]Sheet1!$A:$L,2,0)</f>
        <v>87.583699999999993</v>
      </c>
      <c r="I47">
        <f>VLOOKUP(A47,[2]Sheet1!$A:$L,3,0)</f>
        <v>80.252499999999998</v>
      </c>
      <c r="J47">
        <f>VLOOKUP(A47,[2]Sheet1!$A:$L,6,0)</f>
        <v>91.284800000000004</v>
      </c>
      <c r="K47">
        <f>VLOOKUP(A47,[2]Sheet1!$A:$L,7,0)</f>
        <v>103.4071</v>
      </c>
      <c r="L47">
        <f>VLOOKUP(A47,[2]Sheet1!$A:$L,8,0)</f>
        <v>79.687799999999996</v>
      </c>
    </row>
    <row r="48" spans="1:12" ht="15" thickBot="1" x14ac:dyDescent="0.35">
      <c r="A48" s="9">
        <v>39904</v>
      </c>
      <c r="B48" s="3">
        <v>13.92</v>
      </c>
      <c r="C48" s="12">
        <v>8168.12</v>
      </c>
      <c r="D48" s="3">
        <v>51.12</v>
      </c>
      <c r="E48" s="3">
        <v>3.3730000000000002</v>
      </c>
      <c r="F48" t="e">
        <f>VLOOKUP(A48,[1]edited!$C:$D,2,0)</f>
        <v>#N/A</v>
      </c>
      <c r="H48">
        <f>VLOOKUP(A48,[2]Sheet1!$A:$L,2,0)</f>
        <v>86.9803</v>
      </c>
      <c r="I48">
        <f>VLOOKUP(A48,[2]Sheet1!$A:$L,3,0)</f>
        <v>79.917299999999997</v>
      </c>
      <c r="J48">
        <f>VLOOKUP(A48,[2]Sheet1!$A:$L,6,0)</f>
        <v>92.217399999999998</v>
      </c>
      <c r="K48">
        <f>VLOOKUP(A48,[2]Sheet1!$A:$L,7,0)</f>
        <v>104.08</v>
      </c>
      <c r="L48">
        <f>VLOOKUP(A48,[2]Sheet1!$A:$L,8,0)</f>
        <v>79.054100000000005</v>
      </c>
    </row>
    <row r="49" spans="1:12" ht="15" thickBot="1" x14ac:dyDescent="0.35">
      <c r="A49" s="9">
        <v>39934</v>
      </c>
      <c r="B49" s="3">
        <v>14.65</v>
      </c>
      <c r="C49" s="12">
        <v>8500.33</v>
      </c>
      <c r="D49" s="3">
        <v>66.31</v>
      </c>
      <c r="E49" s="3">
        <v>3.835</v>
      </c>
      <c r="F49" t="e">
        <f>VLOOKUP(A49,[1]edited!$C:$D,2,0)</f>
        <v>#N/A</v>
      </c>
      <c r="H49">
        <f>VLOOKUP(A49,[2]Sheet1!$A:$L,2,0)</f>
        <v>86.091700000000003</v>
      </c>
      <c r="I49">
        <f>VLOOKUP(A49,[2]Sheet1!$A:$L,3,0)</f>
        <v>80.170100000000005</v>
      </c>
      <c r="J49">
        <f>VLOOKUP(A49,[2]Sheet1!$A:$L,6,0)</f>
        <v>91.361500000000007</v>
      </c>
      <c r="K49">
        <f>VLOOKUP(A49,[2]Sheet1!$A:$L,7,0)</f>
        <v>103.649</v>
      </c>
      <c r="L49">
        <f>VLOOKUP(A49,[2]Sheet1!$A:$L,8,0)</f>
        <v>78.921700000000001</v>
      </c>
    </row>
    <row r="50" spans="1:12" ht="15" thickBot="1" x14ac:dyDescent="0.35">
      <c r="A50" s="9">
        <v>39965</v>
      </c>
      <c r="B50" s="3">
        <v>13.15</v>
      </c>
      <c r="C50" s="12">
        <v>8447</v>
      </c>
      <c r="D50" s="3">
        <v>69.89</v>
      </c>
      <c r="E50" s="3">
        <v>3.835</v>
      </c>
      <c r="F50">
        <f>VLOOKUP(A50,[1]edited!$C:$D,2,0)</f>
        <v>14381.2</v>
      </c>
      <c r="H50">
        <f>VLOOKUP(A50,[2]Sheet1!$A:$L,2,0)</f>
        <v>85.907200000000003</v>
      </c>
      <c r="I50">
        <f>VLOOKUP(A50,[2]Sheet1!$A:$L,3,0)</f>
        <v>80.106700000000004</v>
      </c>
      <c r="J50">
        <f>VLOOKUP(A50,[2]Sheet1!$A:$L,6,0)</f>
        <v>92.6066</v>
      </c>
      <c r="K50">
        <f>VLOOKUP(A50,[2]Sheet1!$A:$L,7,0)</f>
        <v>104.3518</v>
      </c>
      <c r="L50">
        <f>VLOOKUP(A50,[2]Sheet1!$A:$L,8,0)</f>
        <v>79.483900000000006</v>
      </c>
    </row>
    <row r="51" spans="1:12" ht="15" thickBot="1" x14ac:dyDescent="0.35">
      <c r="A51" s="9">
        <v>39995</v>
      </c>
      <c r="B51" s="3">
        <v>13.66</v>
      </c>
      <c r="C51" s="12">
        <v>9171.61</v>
      </c>
      <c r="D51" s="3">
        <v>69.45</v>
      </c>
      <c r="E51" s="3">
        <v>3.653</v>
      </c>
      <c r="F51" t="e">
        <f>VLOOKUP(A51,[1]edited!$C:$D,2,0)</f>
        <v>#N/A</v>
      </c>
      <c r="H51">
        <f>VLOOKUP(A51,[2]Sheet1!$A:$L,2,0)</f>
        <v>87.277500000000003</v>
      </c>
      <c r="I51">
        <f>VLOOKUP(A51,[2]Sheet1!$A:$L,3,0)</f>
        <v>80.992999999999995</v>
      </c>
      <c r="J51">
        <f>VLOOKUP(A51,[2]Sheet1!$A:$L,6,0)</f>
        <v>91.695800000000006</v>
      </c>
      <c r="K51">
        <f>VLOOKUP(A51,[2]Sheet1!$A:$L,7,0)</f>
        <v>104.83880000000001</v>
      </c>
      <c r="L51">
        <f>VLOOKUP(A51,[2]Sheet1!$A:$L,8,0)</f>
        <v>80.156800000000004</v>
      </c>
    </row>
    <row r="52" spans="1:12" ht="15" thickBot="1" x14ac:dyDescent="0.35">
      <c r="A52" s="9">
        <v>40026</v>
      </c>
      <c r="B52" s="3">
        <v>14.89</v>
      </c>
      <c r="C52" s="12">
        <v>9496.2800000000007</v>
      </c>
      <c r="D52" s="3">
        <v>69.959999999999994</v>
      </c>
      <c r="E52" s="3">
        <v>2.9769999999999999</v>
      </c>
      <c r="F52" t="e">
        <f>VLOOKUP(A52,[1]edited!$C:$D,2,0)</f>
        <v>#N/A</v>
      </c>
      <c r="H52">
        <f>VLOOKUP(A52,[2]Sheet1!$A:$L,2,0)</f>
        <v>88.263999999999996</v>
      </c>
      <c r="I52">
        <f>VLOOKUP(A52,[2]Sheet1!$A:$L,3,0)</f>
        <v>81.964600000000004</v>
      </c>
      <c r="J52">
        <f>VLOOKUP(A52,[2]Sheet1!$A:$L,6,0)</f>
        <v>91.965800000000002</v>
      </c>
      <c r="K52">
        <f>VLOOKUP(A52,[2]Sheet1!$A:$L,7,0)</f>
        <v>105.9778</v>
      </c>
      <c r="L52">
        <f>VLOOKUP(A52,[2]Sheet1!$A:$L,8,0)</f>
        <v>81.500699999999995</v>
      </c>
    </row>
    <row r="53" spans="1:12" ht="15" thickBot="1" x14ac:dyDescent="0.35">
      <c r="A53" s="9">
        <v>40057</v>
      </c>
      <c r="B53" s="3">
        <v>13.36</v>
      </c>
      <c r="C53" s="12">
        <v>9712.2800000000007</v>
      </c>
      <c r="D53" s="3">
        <v>70.61</v>
      </c>
      <c r="E53" s="3">
        <v>4.8410000000000002</v>
      </c>
      <c r="F53">
        <f>VLOOKUP(A53,[1]edited!$C:$D,2,0)</f>
        <v>14448.9</v>
      </c>
      <c r="H53">
        <f>VLOOKUP(A53,[2]Sheet1!$A:$L,2,0)</f>
        <v>89.159599999999998</v>
      </c>
      <c r="I53">
        <f>VLOOKUP(A53,[2]Sheet1!$A:$L,3,0)</f>
        <v>82.044700000000006</v>
      </c>
      <c r="J53">
        <f>VLOOKUP(A53,[2]Sheet1!$A:$L,6,0)</f>
        <v>93.1892</v>
      </c>
      <c r="K53">
        <f>VLOOKUP(A53,[2]Sheet1!$A:$L,7,0)</f>
        <v>105.739</v>
      </c>
      <c r="L53">
        <f>VLOOKUP(A53,[2]Sheet1!$A:$L,8,0)</f>
        <v>82.797700000000006</v>
      </c>
    </row>
    <row r="54" spans="1:12" ht="15" thickBot="1" x14ac:dyDescent="0.35">
      <c r="A54" s="9">
        <v>40087</v>
      </c>
      <c r="B54" s="3">
        <v>14.54</v>
      </c>
      <c r="C54" s="12">
        <v>9712.73</v>
      </c>
      <c r="D54" s="3">
        <v>77</v>
      </c>
      <c r="E54" s="3">
        <v>5.0449999999999999</v>
      </c>
      <c r="F54" t="e">
        <f>VLOOKUP(A54,[1]edited!$C:$D,2,0)</f>
        <v>#N/A</v>
      </c>
      <c r="H54">
        <f>VLOOKUP(A54,[2]Sheet1!$A:$L,2,0)</f>
        <v>89.218299999999999</v>
      </c>
      <c r="I54">
        <f>VLOOKUP(A54,[2]Sheet1!$A:$L,3,0)</f>
        <v>82.107100000000003</v>
      </c>
      <c r="J54">
        <f>VLOOKUP(A54,[2]Sheet1!$A:$L,6,0)</f>
        <v>91.887200000000007</v>
      </c>
      <c r="K54">
        <f>VLOOKUP(A54,[2]Sheet1!$A:$L,7,0)</f>
        <v>106.1177</v>
      </c>
      <c r="L54">
        <f>VLOOKUP(A54,[2]Sheet1!$A:$L,8,0)</f>
        <v>83.046499999999995</v>
      </c>
    </row>
    <row r="55" spans="1:12" ht="15" thickBot="1" x14ac:dyDescent="0.35">
      <c r="A55" s="9">
        <v>40118</v>
      </c>
      <c r="B55" s="3">
        <v>13.14</v>
      </c>
      <c r="C55" s="12">
        <v>10344.84</v>
      </c>
      <c r="D55" s="3">
        <v>77.28</v>
      </c>
      <c r="E55" s="3">
        <v>4.8479999999999999</v>
      </c>
      <c r="F55" t="e">
        <f>VLOOKUP(A55,[1]edited!$C:$D,2,0)</f>
        <v>#N/A</v>
      </c>
      <c r="H55">
        <f>VLOOKUP(A55,[2]Sheet1!$A:$L,2,0)</f>
        <v>90.109300000000005</v>
      </c>
      <c r="I55">
        <f>VLOOKUP(A55,[2]Sheet1!$A:$L,3,0)</f>
        <v>82.2654</v>
      </c>
      <c r="J55">
        <f>VLOOKUP(A55,[2]Sheet1!$A:$L,6,0)</f>
        <v>90.232399999999998</v>
      </c>
      <c r="K55">
        <f>VLOOKUP(A55,[2]Sheet1!$A:$L,7,0)</f>
        <v>107.877</v>
      </c>
      <c r="L55">
        <f>VLOOKUP(A55,[2]Sheet1!$A:$L,8,0)</f>
        <v>84.018299999999996</v>
      </c>
    </row>
    <row r="56" spans="1:12" ht="15" thickBot="1" x14ac:dyDescent="0.35">
      <c r="A56" s="9">
        <v>40148</v>
      </c>
      <c r="B56" s="3">
        <v>12.31</v>
      </c>
      <c r="C56" s="12">
        <v>10428.049999999999</v>
      </c>
      <c r="D56" s="3">
        <v>79.36</v>
      </c>
      <c r="E56" s="3">
        <v>5.5720000000000001</v>
      </c>
      <c r="F56">
        <f>VLOOKUP(A56,[1]edited!$C:$D,2,0)</f>
        <v>14651.2</v>
      </c>
      <c r="H56">
        <f>VLOOKUP(A56,[2]Sheet1!$A:$L,2,0)</f>
        <v>89.969899999999996</v>
      </c>
      <c r="I56">
        <f>VLOOKUP(A56,[2]Sheet1!$A:$L,3,0)</f>
        <v>81.880300000000005</v>
      </c>
      <c r="J56">
        <f>VLOOKUP(A56,[2]Sheet1!$A:$L,6,0)</f>
        <v>88.448700000000002</v>
      </c>
      <c r="K56">
        <f>VLOOKUP(A56,[2]Sheet1!$A:$L,7,0)</f>
        <v>106.7621</v>
      </c>
      <c r="L56">
        <f>VLOOKUP(A56,[2]Sheet1!$A:$L,8,0)</f>
        <v>84.736900000000006</v>
      </c>
    </row>
    <row r="57" spans="1:12" ht="15" thickBot="1" x14ac:dyDescent="0.35">
      <c r="A57" s="9">
        <v>40179</v>
      </c>
      <c r="B57" s="3">
        <v>12.71</v>
      </c>
      <c r="C57" s="12">
        <v>10067.33</v>
      </c>
      <c r="D57" s="3">
        <v>72.89</v>
      </c>
      <c r="E57" s="3">
        <v>5.1310000000000002</v>
      </c>
      <c r="F57" t="e">
        <f>VLOOKUP(A57,[1]edited!$C:$D,2,0)</f>
        <v>#N/A</v>
      </c>
      <c r="G57">
        <v>18.252020000000002</v>
      </c>
      <c r="H57">
        <f>VLOOKUP(A57,[2]Sheet1!$A:$L,2,0)</f>
        <v>90.870699999999999</v>
      </c>
      <c r="I57">
        <f>VLOOKUP(A57,[2]Sheet1!$A:$L,3,0)</f>
        <v>83.449799999999996</v>
      </c>
      <c r="J57">
        <f>VLOOKUP(A57,[2]Sheet1!$A:$L,6,0)</f>
        <v>86.035600000000002</v>
      </c>
      <c r="K57">
        <f>VLOOKUP(A57,[2]Sheet1!$A:$L,7,0)</f>
        <v>108.34350000000001</v>
      </c>
      <c r="L57">
        <f>VLOOKUP(A57,[2]Sheet1!$A:$L,8,0)</f>
        <v>85.717200000000005</v>
      </c>
    </row>
    <row r="58" spans="1:12" ht="15" thickBot="1" x14ac:dyDescent="0.35">
      <c r="A58" s="9">
        <v>40210</v>
      </c>
      <c r="B58" s="3">
        <v>12.86</v>
      </c>
      <c r="C58" s="12">
        <v>10325.26</v>
      </c>
      <c r="D58" s="3">
        <v>79.66</v>
      </c>
      <c r="E58" s="3">
        <v>4.8129999999999997</v>
      </c>
      <c r="F58" t="e">
        <f>VLOOKUP(A58,[1]edited!$C:$D,2,0)</f>
        <v>#N/A</v>
      </c>
      <c r="H58">
        <f>VLOOKUP(A58,[2]Sheet1!$A:$L,2,0)</f>
        <v>90.795000000000002</v>
      </c>
      <c r="I58">
        <f>VLOOKUP(A58,[2]Sheet1!$A:$L,3,0)</f>
        <v>84.675899999999999</v>
      </c>
      <c r="J58">
        <f>VLOOKUP(A58,[2]Sheet1!$A:$L,6,0)</f>
        <v>88.639200000000002</v>
      </c>
      <c r="K58">
        <f>VLOOKUP(A58,[2]Sheet1!$A:$L,7,0)</f>
        <v>107.2717</v>
      </c>
      <c r="L58">
        <f>VLOOKUP(A58,[2]Sheet1!$A:$L,8,0)</f>
        <v>86.629499999999993</v>
      </c>
    </row>
    <row r="59" spans="1:12" ht="15" thickBot="1" x14ac:dyDescent="0.35">
      <c r="A59" s="9">
        <v>40238</v>
      </c>
      <c r="B59" s="3">
        <v>12.71</v>
      </c>
      <c r="C59" s="12">
        <v>10856.63</v>
      </c>
      <c r="D59" s="3">
        <v>83.76</v>
      </c>
      <c r="E59" s="3">
        <v>3.8690000000000002</v>
      </c>
      <c r="F59">
        <f>VLOOKUP(A59,[1]edited!$C:$D,2,0)</f>
        <v>14764.6</v>
      </c>
      <c r="H59">
        <f>VLOOKUP(A59,[2]Sheet1!$A:$L,2,0)</f>
        <v>91.952600000000004</v>
      </c>
      <c r="I59">
        <f>VLOOKUP(A59,[2]Sheet1!$A:$L,3,0)</f>
        <v>85.385499999999993</v>
      </c>
      <c r="J59">
        <f>VLOOKUP(A59,[2]Sheet1!$A:$L,6,0)</f>
        <v>90.819699999999997</v>
      </c>
      <c r="K59">
        <f>VLOOKUP(A59,[2]Sheet1!$A:$L,7,0)</f>
        <v>107.98399999999999</v>
      </c>
      <c r="L59">
        <f>VLOOKUP(A59,[2]Sheet1!$A:$L,8,0)</f>
        <v>87.749300000000005</v>
      </c>
    </row>
    <row r="60" spans="1:12" ht="15" thickBot="1" x14ac:dyDescent="0.35">
      <c r="A60" s="9">
        <v>40269</v>
      </c>
      <c r="B60" s="3">
        <v>15.84</v>
      </c>
      <c r="C60" s="12">
        <v>11008.61</v>
      </c>
      <c r="D60" s="3">
        <v>86.15</v>
      </c>
      <c r="E60" s="3">
        <v>3.92</v>
      </c>
      <c r="F60" t="e">
        <f>VLOOKUP(A60,[1]edited!$C:$D,2,0)</f>
        <v>#N/A</v>
      </c>
      <c r="H60">
        <f>VLOOKUP(A60,[2]Sheet1!$A:$L,2,0)</f>
        <v>92.695899999999995</v>
      </c>
      <c r="I60">
        <f>VLOOKUP(A60,[2]Sheet1!$A:$L,3,0)</f>
        <v>85.934100000000001</v>
      </c>
      <c r="J60">
        <f>VLOOKUP(A60,[2]Sheet1!$A:$L,6,0)</f>
        <v>92.180899999999994</v>
      </c>
      <c r="K60">
        <f>VLOOKUP(A60,[2]Sheet1!$A:$L,7,0)</f>
        <v>108.6352</v>
      </c>
      <c r="L60">
        <f>VLOOKUP(A60,[2]Sheet1!$A:$L,8,0)</f>
        <v>89.918999999999997</v>
      </c>
    </row>
    <row r="61" spans="1:12" ht="15" thickBot="1" x14ac:dyDescent="0.35">
      <c r="A61" s="9">
        <v>40299</v>
      </c>
      <c r="B61" s="3">
        <v>15.02</v>
      </c>
      <c r="C61" s="12">
        <v>10136.629999999999</v>
      </c>
      <c r="D61" s="3">
        <v>73.97</v>
      </c>
      <c r="E61" s="3">
        <v>4.3410000000000002</v>
      </c>
      <c r="F61" t="e">
        <f>VLOOKUP(A61,[1]edited!$C:$D,2,0)</f>
        <v>#N/A</v>
      </c>
      <c r="H61">
        <f>VLOOKUP(A61,[2]Sheet1!$A:$L,2,0)</f>
        <v>93.888499999999993</v>
      </c>
      <c r="I61">
        <f>VLOOKUP(A61,[2]Sheet1!$A:$L,3,0)</f>
        <v>85.933000000000007</v>
      </c>
      <c r="J61">
        <f>VLOOKUP(A61,[2]Sheet1!$A:$L,6,0)</f>
        <v>91.227699999999999</v>
      </c>
      <c r="K61">
        <f>VLOOKUP(A61,[2]Sheet1!$A:$L,7,0)</f>
        <v>108.8493</v>
      </c>
      <c r="L61">
        <f>VLOOKUP(A61,[2]Sheet1!$A:$L,8,0)</f>
        <v>90.634799999999998</v>
      </c>
    </row>
    <row r="62" spans="1:12" ht="15" thickBot="1" x14ac:dyDescent="0.35">
      <c r="A62" s="9">
        <v>40330</v>
      </c>
      <c r="B62" s="3">
        <v>15.19</v>
      </c>
      <c r="C62" s="12">
        <v>9774.02</v>
      </c>
      <c r="D62" s="3">
        <v>75.63</v>
      </c>
      <c r="E62" s="3">
        <v>4.6159999999999997</v>
      </c>
      <c r="F62">
        <f>VLOOKUP(A62,[1]edited!$C:$D,2,0)</f>
        <v>14980.2</v>
      </c>
      <c r="H62">
        <f>VLOOKUP(A62,[2]Sheet1!$A:$L,2,0)</f>
        <v>93.869799999999998</v>
      </c>
      <c r="I62">
        <f>VLOOKUP(A62,[2]Sheet1!$A:$L,3,0)</f>
        <v>86.242999999999995</v>
      </c>
      <c r="J62">
        <f>VLOOKUP(A62,[2]Sheet1!$A:$L,6,0)</f>
        <v>90.726399999999998</v>
      </c>
      <c r="K62">
        <f>VLOOKUP(A62,[2]Sheet1!$A:$L,7,0)</f>
        <v>109.01139999999999</v>
      </c>
      <c r="L62">
        <f>VLOOKUP(A62,[2]Sheet1!$A:$L,8,0)</f>
        <v>89.702500000000001</v>
      </c>
    </row>
    <row r="63" spans="1:12" ht="15" thickBot="1" x14ac:dyDescent="0.35">
      <c r="A63" s="9">
        <v>40360</v>
      </c>
      <c r="B63" s="3">
        <v>14.08</v>
      </c>
      <c r="C63" s="12">
        <v>10465.94</v>
      </c>
      <c r="D63" s="3">
        <v>78.95</v>
      </c>
      <c r="E63" s="3">
        <v>4.923</v>
      </c>
      <c r="F63" t="e">
        <f>VLOOKUP(A63,[1]edited!$C:$D,2,0)</f>
        <v>#N/A</v>
      </c>
      <c r="H63">
        <f>VLOOKUP(A63,[2]Sheet1!$A:$L,2,0)</f>
        <v>94.358000000000004</v>
      </c>
      <c r="I63">
        <f>VLOOKUP(A63,[2]Sheet1!$A:$L,3,0)</f>
        <v>86.648799999999994</v>
      </c>
      <c r="J63">
        <f>VLOOKUP(A63,[2]Sheet1!$A:$L,6,0)</f>
        <v>91.8369</v>
      </c>
      <c r="K63">
        <f>VLOOKUP(A63,[2]Sheet1!$A:$L,7,0)</f>
        <v>108.6921</v>
      </c>
      <c r="L63">
        <f>VLOOKUP(A63,[2]Sheet1!$A:$L,8,0)</f>
        <v>89.830299999999994</v>
      </c>
    </row>
    <row r="64" spans="1:12" ht="15" thickBot="1" x14ac:dyDescent="0.35">
      <c r="A64" s="9">
        <v>40391</v>
      </c>
      <c r="B64" s="3">
        <v>15.22</v>
      </c>
      <c r="C64" s="12">
        <v>10014.719999999999</v>
      </c>
      <c r="D64" s="3">
        <v>71.92</v>
      </c>
      <c r="E64" s="3">
        <v>3.8159999999999998</v>
      </c>
      <c r="F64" t="e">
        <f>VLOOKUP(A64,[1]edited!$C:$D,2,0)</f>
        <v>#N/A</v>
      </c>
      <c r="H64">
        <f>VLOOKUP(A64,[2]Sheet1!$A:$L,2,0)</f>
        <v>94.479799999999997</v>
      </c>
      <c r="I64">
        <f>VLOOKUP(A64,[2]Sheet1!$A:$L,3,0)</f>
        <v>87.505200000000002</v>
      </c>
      <c r="J64">
        <f>VLOOKUP(A64,[2]Sheet1!$A:$L,6,0)</f>
        <v>90.779899999999998</v>
      </c>
      <c r="K64">
        <f>VLOOKUP(A64,[2]Sheet1!$A:$L,7,0)</f>
        <v>109.0933</v>
      </c>
      <c r="L64">
        <f>VLOOKUP(A64,[2]Sheet1!$A:$L,8,0)</f>
        <v>90.108900000000006</v>
      </c>
    </row>
    <row r="65" spans="1:12" ht="15" thickBot="1" x14ac:dyDescent="0.35">
      <c r="A65" s="9">
        <v>40422</v>
      </c>
      <c r="B65" s="3">
        <v>15.41</v>
      </c>
      <c r="C65" s="12">
        <v>10788.05</v>
      </c>
      <c r="D65" s="3">
        <v>79.97</v>
      </c>
      <c r="E65" s="3">
        <v>3.8719999999999999</v>
      </c>
      <c r="F65">
        <f>VLOOKUP(A65,[1]edited!$C:$D,2,0)</f>
        <v>15141.6</v>
      </c>
      <c r="H65">
        <f>VLOOKUP(A65,[2]Sheet1!$A:$L,2,0)</f>
        <v>94.552899999999994</v>
      </c>
      <c r="I65">
        <f>VLOOKUP(A65,[2]Sheet1!$A:$L,3,0)</f>
        <v>88.484700000000004</v>
      </c>
      <c r="J65">
        <f>VLOOKUP(A65,[2]Sheet1!$A:$L,6,0)</f>
        <v>90.945999999999998</v>
      </c>
      <c r="K65">
        <f>VLOOKUP(A65,[2]Sheet1!$A:$L,7,0)</f>
        <v>108.9558</v>
      </c>
      <c r="L65">
        <f>VLOOKUP(A65,[2]Sheet1!$A:$L,8,0)</f>
        <v>89.355900000000005</v>
      </c>
    </row>
    <row r="66" spans="1:12" ht="15" thickBot="1" x14ac:dyDescent="0.35">
      <c r="A66" s="9">
        <v>40452</v>
      </c>
      <c r="B66" s="3">
        <v>14.63</v>
      </c>
      <c r="C66" s="12">
        <v>11118.49</v>
      </c>
      <c r="D66" s="3">
        <v>81.430000000000007</v>
      </c>
      <c r="E66" s="3">
        <v>4.0380000000000003</v>
      </c>
      <c r="F66" t="e">
        <f>VLOOKUP(A66,[1]edited!$C:$D,2,0)</f>
        <v>#N/A</v>
      </c>
      <c r="H66">
        <f>VLOOKUP(A66,[2]Sheet1!$A:$L,2,0)</f>
        <v>94.613299999999995</v>
      </c>
      <c r="I66">
        <f>VLOOKUP(A66,[2]Sheet1!$A:$L,3,0)</f>
        <v>88.113299999999995</v>
      </c>
      <c r="J66">
        <f>VLOOKUP(A66,[2]Sheet1!$A:$L,6,0)</f>
        <v>90.549499999999995</v>
      </c>
      <c r="K66">
        <f>VLOOKUP(A66,[2]Sheet1!$A:$L,7,0)</f>
        <v>107.6966</v>
      </c>
      <c r="L66">
        <f>VLOOKUP(A66,[2]Sheet1!$A:$L,8,0)</f>
        <v>89.277500000000003</v>
      </c>
    </row>
    <row r="67" spans="1:12" ht="15" thickBot="1" x14ac:dyDescent="0.35">
      <c r="A67" s="9">
        <v>40483</v>
      </c>
      <c r="B67" s="3">
        <v>14.76</v>
      </c>
      <c r="C67" s="12">
        <v>11006.02</v>
      </c>
      <c r="D67" s="3">
        <v>84.11</v>
      </c>
      <c r="E67" s="3">
        <v>4.18</v>
      </c>
      <c r="F67" t="e">
        <f>VLOOKUP(A67,[1]edited!$C:$D,2,0)</f>
        <v>#N/A</v>
      </c>
      <c r="H67">
        <f>VLOOKUP(A67,[2]Sheet1!$A:$L,2,0)</f>
        <v>94.736500000000007</v>
      </c>
      <c r="I67">
        <f>VLOOKUP(A67,[2]Sheet1!$A:$L,3,0)</f>
        <v>87.586100000000002</v>
      </c>
      <c r="J67">
        <f>VLOOKUP(A67,[2]Sheet1!$A:$L,6,0)</f>
        <v>91.321299999999994</v>
      </c>
      <c r="K67">
        <f>VLOOKUP(A67,[2]Sheet1!$A:$L,7,0)</f>
        <v>108.6485</v>
      </c>
      <c r="L67">
        <f>VLOOKUP(A67,[2]Sheet1!$A:$L,8,0)</f>
        <v>89.400099999999995</v>
      </c>
    </row>
    <row r="68" spans="1:12" ht="15" thickBot="1" x14ac:dyDescent="0.35">
      <c r="A68" s="9">
        <v>40513</v>
      </c>
      <c r="B68" s="3">
        <v>14.02</v>
      </c>
      <c r="C68" s="12">
        <v>11577.51</v>
      </c>
      <c r="D68" s="3">
        <v>91.38</v>
      </c>
      <c r="E68" s="3">
        <v>4.4050000000000002</v>
      </c>
      <c r="F68">
        <f>VLOOKUP(A68,[1]edited!$C:$D,2,0)</f>
        <v>15309.5</v>
      </c>
      <c r="H68">
        <f>VLOOKUP(A68,[2]Sheet1!$A:$L,2,0)</f>
        <v>95.2</v>
      </c>
      <c r="I68">
        <f>VLOOKUP(A68,[2]Sheet1!$A:$L,3,0)</f>
        <v>88.3202</v>
      </c>
      <c r="J68">
        <f>VLOOKUP(A68,[2]Sheet1!$A:$L,6,0)</f>
        <v>91.671400000000006</v>
      </c>
      <c r="K68">
        <f>VLOOKUP(A68,[2]Sheet1!$A:$L,7,0)</f>
        <v>109.3318</v>
      </c>
      <c r="L68">
        <f>VLOOKUP(A68,[2]Sheet1!$A:$L,8,0)</f>
        <v>89.713800000000006</v>
      </c>
    </row>
    <row r="69" spans="1:12" ht="15" thickBot="1" x14ac:dyDescent="0.35">
      <c r="A69" s="9">
        <v>40544</v>
      </c>
      <c r="B69" s="3">
        <v>14.76</v>
      </c>
      <c r="C69" s="12">
        <v>11891.93</v>
      </c>
      <c r="D69" s="3">
        <v>92.19</v>
      </c>
      <c r="E69" s="3">
        <v>4.42</v>
      </c>
      <c r="F69" t="e">
        <f>VLOOKUP(A69,[1]edited!$C:$D,2,0)</f>
        <v>#N/A</v>
      </c>
      <c r="G69">
        <v>17.669733000000001</v>
      </c>
      <c r="H69">
        <f>VLOOKUP(A69,[2]Sheet1!$A:$L,2,0)</f>
        <v>95.258300000000006</v>
      </c>
      <c r="I69">
        <f>VLOOKUP(A69,[2]Sheet1!$A:$L,3,0)</f>
        <v>88.199799999999996</v>
      </c>
      <c r="J69">
        <f>VLOOKUP(A69,[2]Sheet1!$A:$L,6,0)</f>
        <v>90.588499999999996</v>
      </c>
      <c r="K69">
        <f>VLOOKUP(A69,[2]Sheet1!$A:$L,7,0)</f>
        <v>109.0646</v>
      </c>
      <c r="L69">
        <f>VLOOKUP(A69,[2]Sheet1!$A:$L,8,0)</f>
        <v>89.763199999999998</v>
      </c>
    </row>
    <row r="70" spans="1:12" ht="15" thickBot="1" x14ac:dyDescent="0.35">
      <c r="A70" s="9">
        <v>40575</v>
      </c>
      <c r="B70" s="3">
        <v>15.3</v>
      </c>
      <c r="C70" s="12">
        <v>12226.34</v>
      </c>
      <c r="D70" s="3">
        <v>96.97</v>
      </c>
      <c r="E70" s="3">
        <v>4.0369999999999999</v>
      </c>
      <c r="F70" t="e">
        <f>VLOOKUP(A70,[1]edited!$C:$D,2,0)</f>
        <v>#N/A</v>
      </c>
      <c r="H70">
        <f>VLOOKUP(A70,[2]Sheet1!$A:$L,2,0)</f>
        <v>95.385900000000007</v>
      </c>
      <c r="I70">
        <f>VLOOKUP(A70,[2]Sheet1!$A:$L,3,0)</f>
        <v>86.657300000000006</v>
      </c>
      <c r="J70">
        <f>VLOOKUP(A70,[2]Sheet1!$A:$L,6,0)</f>
        <v>89.639899999999997</v>
      </c>
      <c r="K70">
        <f>VLOOKUP(A70,[2]Sheet1!$A:$L,7,0)</f>
        <v>108.6564</v>
      </c>
      <c r="L70">
        <f>VLOOKUP(A70,[2]Sheet1!$A:$L,8,0)</f>
        <v>89.428100000000001</v>
      </c>
    </row>
    <row r="71" spans="1:12" ht="15" thickBot="1" x14ac:dyDescent="0.35">
      <c r="A71" s="9">
        <v>40603</v>
      </c>
      <c r="B71" s="3">
        <v>16.88</v>
      </c>
      <c r="C71" s="12">
        <v>12319.73</v>
      </c>
      <c r="D71" s="3">
        <v>106.72</v>
      </c>
      <c r="E71" s="3">
        <v>4.3890000000000002</v>
      </c>
      <c r="F71">
        <f>VLOOKUP(A71,[1]edited!$C:$D,2,0)</f>
        <v>15351.4</v>
      </c>
      <c r="H71">
        <f>VLOOKUP(A71,[2]Sheet1!$A:$L,2,0)</f>
        <v>96.005300000000005</v>
      </c>
      <c r="I71">
        <f>VLOOKUP(A71,[2]Sheet1!$A:$L,3,0)</f>
        <v>89.208500000000001</v>
      </c>
      <c r="J71">
        <f>VLOOKUP(A71,[2]Sheet1!$A:$L,6,0)</f>
        <v>91.990700000000004</v>
      </c>
      <c r="K71">
        <f>VLOOKUP(A71,[2]Sheet1!$A:$L,7,0)</f>
        <v>109.9256</v>
      </c>
      <c r="L71">
        <f>VLOOKUP(A71,[2]Sheet1!$A:$L,8,0)</f>
        <v>88.999700000000004</v>
      </c>
    </row>
    <row r="72" spans="1:12" ht="15" thickBot="1" x14ac:dyDescent="0.35">
      <c r="A72" s="9">
        <v>40634</v>
      </c>
      <c r="B72" s="3">
        <v>16.7</v>
      </c>
      <c r="C72" s="12">
        <v>12810.54</v>
      </c>
      <c r="D72" s="3">
        <v>113.93</v>
      </c>
      <c r="E72" s="3">
        <v>4.6980000000000004</v>
      </c>
      <c r="F72" t="e">
        <f>VLOOKUP(A72,[1]edited!$C:$D,2,0)</f>
        <v>#N/A</v>
      </c>
      <c r="H72">
        <f>VLOOKUP(A72,[2]Sheet1!$A:$L,2,0)</f>
        <v>95.456999999999994</v>
      </c>
      <c r="I72">
        <f>VLOOKUP(A72,[2]Sheet1!$A:$L,3,0)</f>
        <v>89.222399999999993</v>
      </c>
      <c r="J72">
        <f>VLOOKUP(A72,[2]Sheet1!$A:$L,6,0)</f>
        <v>90.524100000000004</v>
      </c>
      <c r="K72">
        <f>VLOOKUP(A72,[2]Sheet1!$A:$L,7,0)</f>
        <v>109.0724</v>
      </c>
      <c r="L72">
        <f>VLOOKUP(A72,[2]Sheet1!$A:$L,8,0)</f>
        <v>89.5124</v>
      </c>
    </row>
    <row r="73" spans="1:12" ht="15" thickBot="1" x14ac:dyDescent="0.35">
      <c r="A73" s="9">
        <v>40664</v>
      </c>
      <c r="B73" s="3">
        <v>16.690000000000001</v>
      </c>
      <c r="C73" s="12">
        <v>12569.79</v>
      </c>
      <c r="D73" s="3">
        <v>102.7</v>
      </c>
      <c r="E73" s="3">
        <v>4.6660000000000004</v>
      </c>
      <c r="F73" t="e">
        <f>VLOOKUP(A73,[1]edited!$C:$D,2,0)</f>
        <v>#N/A</v>
      </c>
      <c r="H73">
        <f>VLOOKUP(A73,[2]Sheet1!$A:$L,2,0)</f>
        <v>95.456100000000006</v>
      </c>
      <c r="I73">
        <f>VLOOKUP(A73,[2]Sheet1!$A:$L,3,0)</f>
        <v>89.517700000000005</v>
      </c>
      <c r="J73">
        <f>VLOOKUP(A73,[2]Sheet1!$A:$L,6,0)</f>
        <v>91.736900000000006</v>
      </c>
      <c r="K73">
        <f>VLOOKUP(A73,[2]Sheet1!$A:$L,7,0)</f>
        <v>107.6023</v>
      </c>
      <c r="L73">
        <f>VLOOKUP(A73,[2]Sheet1!$A:$L,8,0)</f>
        <v>89.575999999999993</v>
      </c>
    </row>
    <row r="74" spans="1:12" ht="15" thickBot="1" x14ac:dyDescent="0.35">
      <c r="A74" s="9">
        <v>40695</v>
      </c>
      <c r="B74" s="3">
        <v>13.36</v>
      </c>
      <c r="C74" s="12">
        <v>12414.34</v>
      </c>
      <c r="D74" s="3">
        <v>95.42</v>
      </c>
      <c r="E74" s="3">
        <v>4.3739999999999997</v>
      </c>
      <c r="F74">
        <f>VLOOKUP(A74,[1]edited!$C:$D,2,0)</f>
        <v>15557.5</v>
      </c>
      <c r="H74">
        <f>VLOOKUP(A74,[2]Sheet1!$A:$L,2,0)</f>
        <v>95.562700000000007</v>
      </c>
      <c r="I74">
        <f>VLOOKUP(A74,[2]Sheet1!$A:$L,3,0)</f>
        <v>89.978099999999998</v>
      </c>
      <c r="J74">
        <f>VLOOKUP(A74,[2]Sheet1!$A:$L,6,0)</f>
        <v>92.803200000000004</v>
      </c>
      <c r="K74">
        <f>VLOOKUP(A74,[2]Sheet1!$A:$L,7,0)</f>
        <v>107.8496</v>
      </c>
      <c r="L74">
        <f>VLOOKUP(A74,[2]Sheet1!$A:$L,8,0)</f>
        <v>89.264600000000002</v>
      </c>
    </row>
    <row r="75" spans="1:12" ht="15" thickBot="1" x14ac:dyDescent="0.35">
      <c r="A75" s="9">
        <v>40725</v>
      </c>
      <c r="B75" s="3">
        <v>12.11</v>
      </c>
      <c r="C75" s="12">
        <v>12143.24</v>
      </c>
      <c r="D75" s="3">
        <v>95.7</v>
      </c>
      <c r="E75" s="3">
        <v>4.1449999999999996</v>
      </c>
      <c r="F75" t="e">
        <f>VLOOKUP(A75,[1]edited!$C:$D,2,0)</f>
        <v>#N/A</v>
      </c>
      <c r="H75">
        <f>VLOOKUP(A75,[2]Sheet1!$A:$L,2,0)</f>
        <v>96.111599999999996</v>
      </c>
      <c r="I75">
        <f>VLOOKUP(A75,[2]Sheet1!$A:$L,3,0)</f>
        <v>89.606999999999999</v>
      </c>
      <c r="J75">
        <f>VLOOKUP(A75,[2]Sheet1!$A:$L,6,0)</f>
        <v>93.866</v>
      </c>
      <c r="K75">
        <f>VLOOKUP(A75,[2]Sheet1!$A:$L,7,0)</f>
        <v>107.8566</v>
      </c>
      <c r="L75">
        <f>VLOOKUP(A75,[2]Sheet1!$A:$L,8,0)</f>
        <v>89.962800000000001</v>
      </c>
    </row>
    <row r="76" spans="1:12" ht="15" thickBot="1" x14ac:dyDescent="0.35">
      <c r="A76" s="9">
        <v>40756</v>
      </c>
      <c r="B76" s="3">
        <v>12.84</v>
      </c>
      <c r="C76" s="12">
        <v>11613.53</v>
      </c>
      <c r="D76" s="3">
        <v>88.81</v>
      </c>
      <c r="E76" s="3">
        <v>4.0540000000000003</v>
      </c>
      <c r="F76" t="e">
        <f>VLOOKUP(A76,[1]edited!$C:$D,2,0)</f>
        <v>#N/A</v>
      </c>
      <c r="H76">
        <f>VLOOKUP(A76,[2]Sheet1!$A:$L,2,0)</f>
        <v>96.537000000000006</v>
      </c>
      <c r="I76">
        <f>VLOOKUP(A76,[2]Sheet1!$A:$L,3,0)</f>
        <v>90.853999999999999</v>
      </c>
      <c r="J76">
        <f>VLOOKUP(A76,[2]Sheet1!$A:$L,6,0)</f>
        <v>94.245699999999999</v>
      </c>
      <c r="K76">
        <f>VLOOKUP(A76,[2]Sheet1!$A:$L,7,0)</f>
        <v>108.2777</v>
      </c>
      <c r="L76">
        <f>VLOOKUP(A76,[2]Sheet1!$A:$L,8,0)</f>
        <v>90.464699999999993</v>
      </c>
    </row>
    <row r="77" spans="1:12" ht="15" thickBot="1" x14ac:dyDescent="0.35">
      <c r="A77" s="9">
        <v>40787</v>
      </c>
      <c r="B77" s="3">
        <v>10.66</v>
      </c>
      <c r="C77" s="12">
        <v>10913.38</v>
      </c>
      <c r="D77" s="3">
        <v>79.2</v>
      </c>
      <c r="E77" s="3">
        <v>3.6659999999999999</v>
      </c>
      <c r="F77">
        <f>VLOOKUP(A77,[1]edited!$C:$D,2,0)</f>
        <v>15647.7</v>
      </c>
      <c r="H77">
        <f>VLOOKUP(A77,[2]Sheet1!$A:$L,2,0)</f>
        <v>96.790999999999997</v>
      </c>
      <c r="I77">
        <f>VLOOKUP(A77,[2]Sheet1!$A:$L,3,0)</f>
        <v>90.994200000000006</v>
      </c>
      <c r="J77">
        <f>VLOOKUP(A77,[2]Sheet1!$A:$L,6,0)</f>
        <v>94.605599999999995</v>
      </c>
      <c r="K77">
        <f>VLOOKUP(A77,[2]Sheet1!$A:$L,7,0)</f>
        <v>108.7603</v>
      </c>
      <c r="L77">
        <f>VLOOKUP(A77,[2]Sheet1!$A:$L,8,0)</f>
        <v>90.862499999999997</v>
      </c>
    </row>
    <row r="78" spans="1:12" ht="15" thickBot="1" x14ac:dyDescent="0.35">
      <c r="A78" s="9">
        <v>40817</v>
      </c>
      <c r="B78" s="3">
        <v>10.119999999999999</v>
      </c>
      <c r="C78" s="12">
        <v>11955.01</v>
      </c>
      <c r="D78" s="3">
        <v>93.19</v>
      </c>
      <c r="E78" s="3">
        <v>3.9340000000000002</v>
      </c>
      <c r="F78" t="e">
        <f>VLOOKUP(A78,[1]edited!$C:$D,2,0)</f>
        <v>#N/A</v>
      </c>
      <c r="H78">
        <f>VLOOKUP(A78,[2]Sheet1!$A:$L,2,0)</f>
        <v>97.31</v>
      </c>
      <c r="I78">
        <f>VLOOKUP(A78,[2]Sheet1!$A:$L,3,0)</f>
        <v>92.881100000000004</v>
      </c>
      <c r="J78">
        <f>VLOOKUP(A78,[2]Sheet1!$A:$L,6,0)</f>
        <v>94.07</v>
      </c>
      <c r="K78">
        <f>VLOOKUP(A78,[2]Sheet1!$A:$L,7,0)</f>
        <v>108.8147</v>
      </c>
      <c r="L78">
        <f>VLOOKUP(A78,[2]Sheet1!$A:$L,8,0)</f>
        <v>91.6875</v>
      </c>
    </row>
    <row r="79" spans="1:12" ht="15" thickBot="1" x14ac:dyDescent="0.35">
      <c r="A79" s="9">
        <v>40848</v>
      </c>
      <c r="B79" s="3">
        <v>8.35</v>
      </c>
      <c r="C79" s="12">
        <v>12045.68</v>
      </c>
      <c r="D79" s="3">
        <v>100.36</v>
      </c>
      <c r="E79" s="3">
        <v>3.55</v>
      </c>
      <c r="F79" t="e">
        <f>VLOOKUP(A79,[1]edited!$C:$D,2,0)</f>
        <v>#N/A</v>
      </c>
      <c r="H79">
        <f>VLOOKUP(A79,[2]Sheet1!$A:$L,2,0)</f>
        <v>97.124899999999997</v>
      </c>
      <c r="I79">
        <f>VLOOKUP(A79,[2]Sheet1!$A:$L,3,0)</f>
        <v>93.4619</v>
      </c>
      <c r="J79">
        <f>VLOOKUP(A79,[2]Sheet1!$A:$L,6,0)</f>
        <v>93.948599999999999</v>
      </c>
      <c r="K79">
        <f>VLOOKUP(A79,[2]Sheet1!$A:$L,7,0)</f>
        <v>107.7234</v>
      </c>
      <c r="L79">
        <f>VLOOKUP(A79,[2]Sheet1!$A:$L,8,0)</f>
        <v>91.296000000000006</v>
      </c>
    </row>
    <row r="80" spans="1:12" ht="15" thickBot="1" x14ac:dyDescent="0.35">
      <c r="A80" s="9">
        <v>40878</v>
      </c>
      <c r="B80" s="3">
        <v>6.97</v>
      </c>
      <c r="C80" s="12">
        <v>12217.56</v>
      </c>
      <c r="D80" s="3">
        <v>98.83</v>
      </c>
      <c r="E80" s="3">
        <v>2.9889999999999999</v>
      </c>
      <c r="F80">
        <f>VLOOKUP(A80,[1]edited!$C:$D,2,0)</f>
        <v>15842.3</v>
      </c>
      <c r="H80">
        <f>VLOOKUP(A80,[2]Sheet1!$A:$L,2,0)</f>
        <v>97.769099999999995</v>
      </c>
      <c r="I80">
        <f>VLOOKUP(A80,[2]Sheet1!$A:$L,3,0)</f>
        <v>94.204400000000007</v>
      </c>
      <c r="J80">
        <f>VLOOKUP(A80,[2]Sheet1!$A:$L,6,0)</f>
        <v>93.478999999999999</v>
      </c>
      <c r="K80">
        <f>VLOOKUP(A80,[2]Sheet1!$A:$L,7,0)</f>
        <v>108.187</v>
      </c>
      <c r="L80">
        <f>VLOOKUP(A80,[2]Sheet1!$A:$L,8,0)</f>
        <v>92.308199999999999</v>
      </c>
    </row>
    <row r="81" spans="1:12" ht="15" thickBot="1" x14ac:dyDescent="0.35">
      <c r="A81" s="9">
        <v>40909</v>
      </c>
      <c r="B81" s="3">
        <v>7.84</v>
      </c>
      <c r="C81" s="12">
        <v>12632.91</v>
      </c>
      <c r="D81" s="3">
        <v>98.48</v>
      </c>
      <c r="E81" s="3">
        <v>2.5030000000000001</v>
      </c>
      <c r="F81" t="e">
        <f>VLOOKUP(A81,[1]edited!$C:$D,2,0)</f>
        <v>#N/A</v>
      </c>
      <c r="G81">
        <v>16.876878999999999</v>
      </c>
      <c r="H81">
        <f>VLOOKUP(A81,[2]Sheet1!$A:$L,2,0)</f>
        <v>98.608999999999995</v>
      </c>
      <c r="I81">
        <f>VLOOKUP(A81,[2]Sheet1!$A:$L,3,0)</f>
        <v>95.478200000000001</v>
      </c>
      <c r="J81">
        <f>VLOOKUP(A81,[2]Sheet1!$A:$L,6,0)</f>
        <v>92.616299999999995</v>
      </c>
      <c r="K81">
        <f>VLOOKUP(A81,[2]Sheet1!$A:$L,7,0)</f>
        <v>109.17</v>
      </c>
      <c r="L81">
        <f>VLOOKUP(A81,[2]Sheet1!$A:$L,8,0)</f>
        <v>92.918000000000006</v>
      </c>
    </row>
    <row r="82" spans="1:12" ht="15" thickBot="1" x14ac:dyDescent="0.35">
      <c r="A82" s="9">
        <v>40940</v>
      </c>
      <c r="B82" s="3">
        <v>8.34</v>
      </c>
      <c r="C82" s="12">
        <v>12952.07</v>
      </c>
      <c r="D82" s="3">
        <v>107.07</v>
      </c>
      <c r="E82" s="3">
        <v>2.6160000000000001</v>
      </c>
      <c r="F82" t="e">
        <f>VLOOKUP(A82,[1]edited!$C:$D,2,0)</f>
        <v>#N/A</v>
      </c>
      <c r="H82">
        <f>VLOOKUP(A82,[2]Sheet1!$A:$L,2,0)</f>
        <v>99.038200000000003</v>
      </c>
      <c r="I82">
        <f>VLOOKUP(A82,[2]Sheet1!$A:$L,3,0)</f>
        <v>95.222300000000004</v>
      </c>
      <c r="J82">
        <f>VLOOKUP(A82,[2]Sheet1!$A:$L,6,0)</f>
        <v>94.123099999999994</v>
      </c>
      <c r="K82">
        <f>VLOOKUP(A82,[2]Sheet1!$A:$L,7,0)</f>
        <v>108.7779</v>
      </c>
      <c r="L82">
        <f>VLOOKUP(A82,[2]Sheet1!$A:$L,8,0)</f>
        <v>94.355099999999993</v>
      </c>
    </row>
    <row r="83" spans="1:12" ht="15" thickBot="1" x14ac:dyDescent="0.35">
      <c r="A83" s="9">
        <v>40969</v>
      </c>
      <c r="B83" s="3">
        <v>6.98</v>
      </c>
      <c r="C83" s="12">
        <v>13212.04</v>
      </c>
      <c r="D83" s="3">
        <v>103.02</v>
      </c>
      <c r="E83" s="3">
        <v>2.1259999999999999</v>
      </c>
      <c r="F83">
        <f>VLOOKUP(A83,[1]edited!$C:$D,2,0)</f>
        <v>16068.8</v>
      </c>
      <c r="H83">
        <f>VLOOKUP(A83,[2]Sheet1!$A:$L,2,0)</f>
        <v>98.499399999999994</v>
      </c>
      <c r="I83">
        <f>VLOOKUP(A83,[2]Sheet1!$A:$L,3,0)</f>
        <v>95.359800000000007</v>
      </c>
      <c r="J83">
        <f>VLOOKUP(A83,[2]Sheet1!$A:$L,6,0)</f>
        <v>92.844300000000004</v>
      </c>
      <c r="K83">
        <f>VLOOKUP(A83,[2]Sheet1!$A:$L,7,0)</f>
        <v>108.4354</v>
      </c>
      <c r="L83">
        <f>VLOOKUP(A83,[2]Sheet1!$A:$L,8,0)</f>
        <v>93.410499999999999</v>
      </c>
    </row>
    <row r="84" spans="1:12" ht="15" thickBot="1" x14ac:dyDescent="0.35">
      <c r="A84" s="9">
        <v>41000</v>
      </c>
      <c r="B84" s="3">
        <v>7.48</v>
      </c>
      <c r="C84" s="12">
        <v>13213.63</v>
      </c>
      <c r="D84" s="3">
        <v>104.87</v>
      </c>
      <c r="E84" s="3">
        <v>2.2850000000000001</v>
      </c>
      <c r="F84" t="e">
        <f>VLOOKUP(A84,[1]edited!$C:$D,2,0)</f>
        <v>#N/A</v>
      </c>
      <c r="H84">
        <f>VLOOKUP(A84,[2]Sheet1!$A:$L,2,0)</f>
        <v>98.989000000000004</v>
      </c>
      <c r="I84">
        <f>VLOOKUP(A84,[2]Sheet1!$A:$L,3,0)</f>
        <v>95.682400000000001</v>
      </c>
      <c r="J84">
        <f>VLOOKUP(A84,[2]Sheet1!$A:$L,6,0)</f>
        <v>91.752499999999998</v>
      </c>
      <c r="K84">
        <f>VLOOKUP(A84,[2]Sheet1!$A:$L,7,0)</f>
        <v>108.37269999999999</v>
      </c>
      <c r="L84">
        <f>VLOOKUP(A84,[2]Sheet1!$A:$L,8,0)</f>
        <v>94.306399999999996</v>
      </c>
    </row>
    <row r="85" spans="1:12" ht="15" thickBot="1" x14ac:dyDescent="0.35">
      <c r="A85" s="9">
        <v>41030</v>
      </c>
      <c r="B85" s="3">
        <v>6.27</v>
      </c>
      <c r="C85" s="12">
        <v>12393.45</v>
      </c>
      <c r="D85" s="3">
        <v>86.53</v>
      </c>
      <c r="E85" s="3">
        <v>2.4220000000000002</v>
      </c>
      <c r="F85" t="e">
        <f>VLOOKUP(A85,[1]edited!$C:$D,2,0)</f>
        <v>#N/A</v>
      </c>
      <c r="H85">
        <f>VLOOKUP(A85,[2]Sheet1!$A:$L,2,0)</f>
        <v>98.636399999999995</v>
      </c>
      <c r="I85">
        <f>VLOOKUP(A85,[2]Sheet1!$A:$L,3,0)</f>
        <v>95.636099999999999</v>
      </c>
      <c r="J85">
        <f>VLOOKUP(A85,[2]Sheet1!$A:$L,6,0)</f>
        <v>92.117199999999997</v>
      </c>
      <c r="K85">
        <f>VLOOKUP(A85,[2]Sheet1!$A:$L,7,0)</f>
        <v>106.79819999999999</v>
      </c>
      <c r="L85">
        <f>VLOOKUP(A85,[2]Sheet1!$A:$L,8,0)</f>
        <v>93.560900000000004</v>
      </c>
    </row>
    <row r="86" spans="1:12" ht="15" thickBot="1" x14ac:dyDescent="0.35">
      <c r="A86" s="9">
        <v>41061</v>
      </c>
      <c r="B86" s="3">
        <v>8.1999999999999993</v>
      </c>
      <c r="C86" s="12">
        <v>12880.09</v>
      </c>
      <c r="D86" s="3">
        <v>84.96</v>
      </c>
      <c r="E86" s="3">
        <v>2.8239999999999998</v>
      </c>
      <c r="F86">
        <f>VLOOKUP(A86,[1]edited!$C:$D,2,0)</f>
        <v>16207.1</v>
      </c>
      <c r="H86">
        <f>VLOOKUP(A86,[2]Sheet1!$A:$L,2,0)</f>
        <v>98.910300000000007</v>
      </c>
      <c r="I86">
        <f>VLOOKUP(A86,[2]Sheet1!$A:$L,3,0)</f>
        <v>96.053399999999996</v>
      </c>
      <c r="J86">
        <f>VLOOKUP(A86,[2]Sheet1!$A:$L,6,0)</f>
        <v>92.443399999999997</v>
      </c>
      <c r="K86">
        <f>VLOOKUP(A86,[2]Sheet1!$A:$L,7,0)</f>
        <v>106.9474</v>
      </c>
      <c r="L86">
        <f>VLOOKUP(A86,[2]Sheet1!$A:$L,8,0)</f>
        <v>94.402600000000007</v>
      </c>
    </row>
    <row r="87" spans="1:12" ht="15" thickBot="1" x14ac:dyDescent="0.35">
      <c r="A87" s="9">
        <v>41091</v>
      </c>
      <c r="B87" s="3">
        <v>6.88</v>
      </c>
      <c r="C87" s="12">
        <v>13008.68</v>
      </c>
      <c r="D87" s="3">
        <v>88.06</v>
      </c>
      <c r="E87" s="3">
        <v>3.2090000000000001</v>
      </c>
      <c r="F87" t="e">
        <f>VLOOKUP(A87,[1]edited!$C:$D,2,0)</f>
        <v>#N/A</v>
      </c>
      <c r="H87">
        <f>VLOOKUP(A87,[2]Sheet1!$A:$L,2,0)</f>
        <v>98.685900000000004</v>
      </c>
      <c r="I87">
        <f>VLOOKUP(A87,[2]Sheet1!$A:$L,3,0)</f>
        <v>96.836100000000002</v>
      </c>
      <c r="J87">
        <f>VLOOKUP(A87,[2]Sheet1!$A:$L,6,0)</f>
        <v>91.679299999999998</v>
      </c>
      <c r="K87">
        <f>VLOOKUP(A87,[2]Sheet1!$A:$L,7,0)</f>
        <v>105.8578</v>
      </c>
      <c r="L87">
        <f>VLOOKUP(A87,[2]Sheet1!$A:$L,8,0)</f>
        <v>95.631799999999998</v>
      </c>
    </row>
    <row r="88" spans="1:12" ht="15" thickBot="1" x14ac:dyDescent="0.35">
      <c r="A88" s="9">
        <v>41122</v>
      </c>
      <c r="B88" s="3">
        <v>8.0299999999999994</v>
      </c>
      <c r="C88" s="12">
        <v>13090.84</v>
      </c>
      <c r="D88" s="3">
        <v>96.47</v>
      </c>
      <c r="E88" s="3">
        <v>2.7989999999999999</v>
      </c>
      <c r="F88" t="e">
        <f>VLOOKUP(A88,[1]edited!$C:$D,2,0)</f>
        <v>#N/A</v>
      </c>
      <c r="H88">
        <f>VLOOKUP(A88,[2]Sheet1!$A:$L,2,0)</f>
        <v>98.577699999999993</v>
      </c>
      <c r="I88">
        <f>VLOOKUP(A88,[2]Sheet1!$A:$L,3,0)</f>
        <v>96.089200000000005</v>
      </c>
      <c r="J88">
        <f>VLOOKUP(A88,[2]Sheet1!$A:$L,6,0)</f>
        <v>91.5458</v>
      </c>
      <c r="K88">
        <f>VLOOKUP(A88,[2]Sheet1!$A:$L,7,0)</f>
        <v>105.8712</v>
      </c>
      <c r="L88">
        <f>VLOOKUP(A88,[2]Sheet1!$A:$L,8,0)</f>
        <v>94.919899999999998</v>
      </c>
    </row>
    <row r="89" spans="1:12" ht="15" thickBot="1" x14ac:dyDescent="0.35">
      <c r="A89" s="9">
        <v>41153</v>
      </c>
      <c r="B89" s="3">
        <v>7.93</v>
      </c>
      <c r="C89" s="12">
        <v>13437.13</v>
      </c>
      <c r="D89" s="3">
        <v>92.19</v>
      </c>
      <c r="E89" s="3">
        <v>3.32</v>
      </c>
      <c r="F89">
        <f>VLOOKUP(A89,[1]edited!$C:$D,2,0)</f>
        <v>16319.5</v>
      </c>
      <c r="H89">
        <f>VLOOKUP(A89,[2]Sheet1!$A:$L,2,0)</f>
        <v>98.352800000000002</v>
      </c>
      <c r="I89">
        <f>VLOOKUP(A89,[2]Sheet1!$A:$L,3,0)</f>
        <v>97.353899999999996</v>
      </c>
      <c r="J89">
        <f>VLOOKUP(A89,[2]Sheet1!$A:$L,6,0)</f>
        <v>91.652600000000007</v>
      </c>
      <c r="K89">
        <f>VLOOKUP(A89,[2]Sheet1!$A:$L,7,0)</f>
        <v>106.11450000000001</v>
      </c>
      <c r="L89">
        <f>VLOOKUP(A89,[2]Sheet1!$A:$L,8,0)</f>
        <v>94.248599999999996</v>
      </c>
    </row>
    <row r="90" spans="1:12" ht="15" thickBot="1" x14ac:dyDescent="0.35">
      <c r="A90" s="9">
        <v>41183</v>
      </c>
      <c r="B90" s="3">
        <v>8.23</v>
      </c>
      <c r="C90" s="12">
        <v>13096.46</v>
      </c>
      <c r="D90" s="3">
        <v>86.24</v>
      </c>
      <c r="E90" s="3">
        <v>3.6920000000000002</v>
      </c>
      <c r="F90" t="e">
        <f>VLOOKUP(A90,[1]edited!$C:$D,2,0)</f>
        <v>#N/A</v>
      </c>
      <c r="H90">
        <f>VLOOKUP(A90,[2]Sheet1!$A:$L,2,0)</f>
        <v>98.1464</v>
      </c>
      <c r="I90">
        <f>VLOOKUP(A90,[2]Sheet1!$A:$L,3,0)</f>
        <v>98.610799999999998</v>
      </c>
      <c r="J90">
        <f>VLOOKUP(A90,[2]Sheet1!$A:$L,6,0)</f>
        <v>93.317400000000006</v>
      </c>
      <c r="K90">
        <f>VLOOKUP(A90,[2]Sheet1!$A:$L,7,0)</f>
        <v>105.90089999999999</v>
      </c>
      <c r="L90">
        <f>VLOOKUP(A90,[2]Sheet1!$A:$L,8,0)</f>
        <v>94.465199999999996</v>
      </c>
    </row>
    <row r="91" spans="1:12" ht="15" thickBot="1" x14ac:dyDescent="0.35">
      <c r="A91" s="9">
        <v>41214</v>
      </c>
      <c r="B91" s="3">
        <v>6.2</v>
      </c>
      <c r="C91" s="12">
        <v>13025.58</v>
      </c>
      <c r="D91" s="3">
        <v>88.91</v>
      </c>
      <c r="E91" s="3">
        <v>3.5609999999999999</v>
      </c>
      <c r="F91" t="e">
        <f>VLOOKUP(A91,[1]edited!$C:$D,2,0)</f>
        <v>#N/A</v>
      </c>
      <c r="H91">
        <f>VLOOKUP(A91,[2]Sheet1!$A:$L,2,0)</f>
        <v>98.763400000000004</v>
      </c>
      <c r="I91">
        <f>VLOOKUP(A91,[2]Sheet1!$A:$L,3,0)</f>
        <v>98.959599999999995</v>
      </c>
      <c r="J91">
        <f>VLOOKUP(A91,[2]Sheet1!$A:$L,6,0)</f>
        <v>92.518900000000002</v>
      </c>
      <c r="K91">
        <f>VLOOKUP(A91,[2]Sheet1!$A:$L,7,0)</f>
        <v>105.679</v>
      </c>
      <c r="L91">
        <f>VLOOKUP(A91,[2]Sheet1!$A:$L,8,0)</f>
        <v>95.160799999999995</v>
      </c>
    </row>
    <row r="92" spans="1:12" ht="15" thickBot="1" x14ac:dyDescent="0.35">
      <c r="A92" s="9">
        <v>41244</v>
      </c>
      <c r="B92" s="3">
        <v>6.45</v>
      </c>
      <c r="C92" s="12">
        <v>13104.14</v>
      </c>
      <c r="D92" s="3">
        <v>91.82</v>
      </c>
      <c r="E92" s="3">
        <v>3.351</v>
      </c>
      <c r="F92">
        <f>VLOOKUP(A92,[1]edited!$C:$D,2,0)</f>
        <v>16420.400000000001</v>
      </c>
      <c r="H92">
        <f>VLOOKUP(A92,[2]Sheet1!$A:$L,2,0)</f>
        <v>99.468400000000003</v>
      </c>
      <c r="I92">
        <f>VLOOKUP(A92,[2]Sheet1!$A:$L,3,0)</f>
        <v>99.274000000000001</v>
      </c>
      <c r="J92">
        <f>VLOOKUP(A92,[2]Sheet1!$A:$L,6,0)</f>
        <v>93.176500000000004</v>
      </c>
      <c r="K92">
        <f>VLOOKUP(A92,[2]Sheet1!$A:$L,7,0)</f>
        <v>106.55710000000001</v>
      </c>
      <c r="L92">
        <f>VLOOKUP(A92,[2]Sheet1!$A:$L,8,0)</f>
        <v>96.411799999999999</v>
      </c>
    </row>
    <row r="93" spans="1:12" ht="15" thickBot="1" x14ac:dyDescent="0.35">
      <c r="A93" s="9">
        <v>41275</v>
      </c>
      <c r="B93" s="3">
        <v>3.31</v>
      </c>
      <c r="C93" s="12">
        <v>13860.58</v>
      </c>
      <c r="D93" s="3">
        <v>97.49</v>
      </c>
      <c r="E93" s="3">
        <v>3.339</v>
      </c>
      <c r="F93" t="e">
        <f>VLOOKUP(A93,[1]edited!$C:$D,2,0)</f>
        <v>#N/A</v>
      </c>
      <c r="G93">
        <v>17.158995000000001</v>
      </c>
      <c r="H93">
        <f>VLOOKUP(A93,[2]Sheet1!$A:$L,2,0)</f>
        <v>99.234999999999999</v>
      </c>
      <c r="I93">
        <f>VLOOKUP(A93,[2]Sheet1!$A:$L,3,0)</f>
        <v>99.226399999999998</v>
      </c>
      <c r="J93">
        <f>VLOOKUP(A93,[2]Sheet1!$A:$L,6,0)</f>
        <v>95.712400000000002</v>
      </c>
      <c r="K93">
        <f>VLOOKUP(A93,[2]Sheet1!$A:$L,7,0)</f>
        <v>105.35290000000001</v>
      </c>
      <c r="L93">
        <f>VLOOKUP(A93,[2]Sheet1!$A:$L,8,0)</f>
        <v>96.401700000000005</v>
      </c>
    </row>
    <row r="94" spans="1:12" ht="15" thickBot="1" x14ac:dyDescent="0.35">
      <c r="A94" s="9">
        <v>41306</v>
      </c>
      <c r="B94" s="3">
        <v>4.8</v>
      </c>
      <c r="C94" s="12">
        <v>14054.49</v>
      </c>
      <c r="D94" s="3">
        <v>92.05</v>
      </c>
      <c r="E94" s="3">
        <v>3.4860000000000002</v>
      </c>
      <c r="F94" t="e">
        <f>VLOOKUP(A94,[1]edited!$C:$D,2,0)</f>
        <v>#N/A</v>
      </c>
      <c r="H94">
        <f>VLOOKUP(A94,[2]Sheet1!$A:$L,2,0)</f>
        <v>99.635300000000001</v>
      </c>
      <c r="I94">
        <f>VLOOKUP(A94,[2]Sheet1!$A:$L,3,0)</f>
        <v>99.7012</v>
      </c>
      <c r="J94">
        <f>VLOOKUP(A94,[2]Sheet1!$A:$L,6,0)</f>
        <v>96.091800000000006</v>
      </c>
      <c r="K94">
        <f>VLOOKUP(A94,[2]Sheet1!$A:$L,7,0)</f>
        <v>104.12220000000001</v>
      </c>
      <c r="L94">
        <f>VLOOKUP(A94,[2]Sheet1!$A:$L,8,0)</f>
        <v>95.724599999999995</v>
      </c>
    </row>
    <row r="95" spans="1:12" ht="15" thickBot="1" x14ac:dyDescent="0.35">
      <c r="A95" s="9">
        <v>41334</v>
      </c>
      <c r="B95" s="3">
        <v>4.74</v>
      </c>
      <c r="C95" s="12">
        <v>14578.54</v>
      </c>
      <c r="D95" s="3">
        <v>97.23</v>
      </c>
      <c r="E95" s="3">
        <v>4.024</v>
      </c>
      <c r="F95">
        <f>VLOOKUP(A95,[1]edited!$C:$D,2,0)</f>
        <v>16648.2</v>
      </c>
      <c r="H95">
        <f>VLOOKUP(A95,[2]Sheet1!$A:$L,2,0)</f>
        <v>99.545199999999994</v>
      </c>
      <c r="I95">
        <f>VLOOKUP(A95,[2]Sheet1!$A:$L,3,0)</f>
        <v>100.16070000000001</v>
      </c>
      <c r="J95">
        <f>VLOOKUP(A95,[2]Sheet1!$A:$L,6,0)</f>
        <v>95.603099999999998</v>
      </c>
      <c r="K95">
        <f>VLOOKUP(A95,[2]Sheet1!$A:$L,7,0)</f>
        <v>104.008</v>
      </c>
      <c r="L95">
        <f>VLOOKUP(A95,[2]Sheet1!$A:$L,8,0)</f>
        <v>96.3399</v>
      </c>
    </row>
    <row r="96" spans="1:12" ht="15" thickBot="1" x14ac:dyDescent="0.35">
      <c r="A96" s="9">
        <v>41365</v>
      </c>
      <c r="B96" s="3">
        <v>3.07</v>
      </c>
      <c r="C96" s="12">
        <v>14839.8</v>
      </c>
      <c r="D96" s="3">
        <v>93.46</v>
      </c>
      <c r="E96" s="3">
        <v>4.343</v>
      </c>
      <c r="F96" t="e">
        <f>VLOOKUP(A96,[1]edited!$C:$D,2,0)</f>
        <v>#N/A</v>
      </c>
      <c r="H96">
        <f>VLOOKUP(A96,[2]Sheet1!$A:$L,2,0)</f>
        <v>99.211100000000002</v>
      </c>
      <c r="I96">
        <f>VLOOKUP(A96,[2]Sheet1!$A:$L,3,0)</f>
        <v>100.7805</v>
      </c>
      <c r="J96">
        <f>VLOOKUP(A96,[2]Sheet1!$A:$L,6,0)</f>
        <v>95.179900000000004</v>
      </c>
      <c r="K96">
        <f>VLOOKUP(A96,[2]Sheet1!$A:$L,7,0)</f>
        <v>103.86199999999999</v>
      </c>
      <c r="L96">
        <f>VLOOKUP(A96,[2]Sheet1!$A:$L,8,0)</f>
        <v>96.390199999999993</v>
      </c>
    </row>
    <row r="97" spans="1:12" ht="15" thickBot="1" x14ac:dyDescent="0.35">
      <c r="A97" s="9">
        <v>41395</v>
      </c>
      <c r="B97" s="3">
        <v>3.91</v>
      </c>
      <c r="C97" s="12">
        <v>15115.57</v>
      </c>
      <c r="D97" s="3">
        <v>91.97</v>
      </c>
      <c r="E97" s="3">
        <v>3.984</v>
      </c>
      <c r="F97" t="e">
        <f>VLOOKUP(A97,[1]edited!$C:$D,2,0)</f>
        <v>#N/A</v>
      </c>
      <c r="H97">
        <f>VLOOKUP(A97,[2]Sheet1!$A:$L,2,0)</f>
        <v>99.534899999999993</v>
      </c>
      <c r="I97">
        <f>VLOOKUP(A97,[2]Sheet1!$A:$L,3,0)</f>
        <v>101.48909999999999</v>
      </c>
      <c r="J97">
        <f>VLOOKUP(A97,[2]Sheet1!$A:$L,6,0)</f>
        <v>95.933099999999996</v>
      </c>
      <c r="K97">
        <f>VLOOKUP(A97,[2]Sheet1!$A:$L,7,0)</f>
        <v>104.452</v>
      </c>
      <c r="L97">
        <f>VLOOKUP(A97,[2]Sheet1!$A:$L,8,0)</f>
        <v>96.196700000000007</v>
      </c>
    </row>
    <row r="98" spans="1:12" ht="15" thickBot="1" x14ac:dyDescent="0.35">
      <c r="A98" s="9">
        <v>41426</v>
      </c>
      <c r="B98" s="3">
        <v>4.18</v>
      </c>
      <c r="C98" s="12">
        <v>14909.6</v>
      </c>
      <c r="D98" s="3">
        <v>96.56</v>
      </c>
      <c r="E98" s="3">
        <v>3.5649999999999999</v>
      </c>
      <c r="F98">
        <f>VLOOKUP(A98,[1]edited!$C:$D,2,0)</f>
        <v>16728.7</v>
      </c>
      <c r="H98">
        <f>VLOOKUP(A98,[2]Sheet1!$A:$L,2,0)</f>
        <v>99.748900000000006</v>
      </c>
      <c r="I98">
        <f>VLOOKUP(A98,[2]Sheet1!$A:$L,3,0)</f>
        <v>102.0154</v>
      </c>
      <c r="J98">
        <f>VLOOKUP(A98,[2]Sheet1!$A:$L,6,0)</f>
        <v>96.451099999999997</v>
      </c>
      <c r="K98">
        <f>VLOOKUP(A98,[2]Sheet1!$A:$L,7,0)</f>
        <v>104.03149999999999</v>
      </c>
      <c r="L98">
        <f>VLOOKUP(A98,[2]Sheet1!$A:$L,8,0)</f>
        <v>95.670400000000001</v>
      </c>
    </row>
    <row r="99" spans="1:12" ht="15" thickBot="1" x14ac:dyDescent="0.35">
      <c r="A99" s="9">
        <v>41456</v>
      </c>
      <c r="B99" s="3">
        <v>4.3099999999999996</v>
      </c>
      <c r="C99" s="12">
        <v>15499.54</v>
      </c>
      <c r="D99" s="3">
        <v>105.03</v>
      </c>
      <c r="E99" s="3">
        <v>3.4460000000000002</v>
      </c>
      <c r="F99" t="e">
        <f>VLOOKUP(A99,[1]edited!$C:$D,2,0)</f>
        <v>#N/A</v>
      </c>
      <c r="H99">
        <f>VLOOKUP(A99,[2]Sheet1!$A:$L,2,0)</f>
        <v>98.953599999999994</v>
      </c>
      <c r="I99">
        <f>VLOOKUP(A99,[2]Sheet1!$A:$L,3,0)</f>
        <v>102.8867</v>
      </c>
      <c r="J99">
        <f>VLOOKUP(A99,[2]Sheet1!$A:$L,6,0)</f>
        <v>96.486199999999997</v>
      </c>
      <c r="K99">
        <f>VLOOKUP(A99,[2]Sheet1!$A:$L,7,0)</f>
        <v>103.58669999999999</v>
      </c>
      <c r="L99">
        <f>VLOOKUP(A99,[2]Sheet1!$A:$L,8,0)</f>
        <v>95.4191</v>
      </c>
    </row>
    <row r="100" spans="1:12" ht="15" thickBot="1" x14ac:dyDescent="0.35">
      <c r="A100" s="9">
        <v>41487</v>
      </c>
      <c r="B100" s="3">
        <v>4.55</v>
      </c>
      <c r="C100" s="12">
        <v>14810.31</v>
      </c>
      <c r="D100" s="3">
        <v>107.65</v>
      </c>
      <c r="E100" s="3">
        <v>3.581</v>
      </c>
      <c r="F100" t="e">
        <f>VLOOKUP(A100,[1]edited!$C:$D,2,0)</f>
        <v>#N/A</v>
      </c>
      <c r="H100">
        <f>VLOOKUP(A100,[2]Sheet1!$A:$L,2,0)</f>
        <v>99.807500000000005</v>
      </c>
      <c r="I100">
        <f>VLOOKUP(A100,[2]Sheet1!$A:$L,3,0)</f>
        <v>103.03879999999999</v>
      </c>
      <c r="J100">
        <f>VLOOKUP(A100,[2]Sheet1!$A:$L,6,0)</f>
        <v>96.144599999999997</v>
      </c>
      <c r="K100">
        <f>VLOOKUP(A100,[2]Sheet1!$A:$L,7,0)</f>
        <v>103.4568</v>
      </c>
      <c r="L100">
        <f>VLOOKUP(A100,[2]Sheet1!$A:$L,8,0)</f>
        <v>94.630499999999998</v>
      </c>
    </row>
    <row r="101" spans="1:12" ht="15" thickBot="1" x14ac:dyDescent="0.35">
      <c r="A101" s="9">
        <v>41518</v>
      </c>
      <c r="B101" s="3">
        <v>5.0199999999999996</v>
      </c>
      <c r="C101" s="12">
        <v>15129.67</v>
      </c>
      <c r="D101" s="3">
        <v>102.33</v>
      </c>
      <c r="E101" s="3">
        <v>3.56</v>
      </c>
      <c r="F101">
        <f>VLOOKUP(A101,[1]edited!$C:$D,2,0)</f>
        <v>16953.8</v>
      </c>
      <c r="H101">
        <f>VLOOKUP(A101,[2]Sheet1!$A:$L,2,0)</f>
        <v>99.9011</v>
      </c>
      <c r="I101">
        <f>VLOOKUP(A101,[2]Sheet1!$A:$L,3,0)</f>
        <v>104.1574</v>
      </c>
      <c r="J101">
        <f>VLOOKUP(A101,[2]Sheet1!$A:$L,6,0)</f>
        <v>97.423000000000002</v>
      </c>
      <c r="K101">
        <f>VLOOKUP(A101,[2]Sheet1!$A:$L,7,0)</f>
        <v>102.3556</v>
      </c>
      <c r="L101">
        <f>VLOOKUP(A101,[2]Sheet1!$A:$L,8,0)</f>
        <v>95.173299999999998</v>
      </c>
    </row>
    <row r="102" spans="1:12" ht="15" thickBot="1" x14ac:dyDescent="0.35">
      <c r="A102" s="9">
        <v>41548</v>
      </c>
      <c r="B102" s="3">
        <v>4.8</v>
      </c>
      <c r="C102" s="12">
        <v>15545.75</v>
      </c>
      <c r="D102" s="3">
        <v>96.38</v>
      </c>
      <c r="E102" s="3">
        <v>3.581</v>
      </c>
      <c r="F102" t="e">
        <f>VLOOKUP(A102,[1]edited!$C:$D,2,0)</f>
        <v>#N/A</v>
      </c>
      <c r="H102">
        <f>VLOOKUP(A102,[2]Sheet1!$A:$L,2,0)</f>
        <v>100.0304</v>
      </c>
      <c r="I102">
        <f>VLOOKUP(A102,[2]Sheet1!$A:$L,3,0)</f>
        <v>102.7944</v>
      </c>
      <c r="J102">
        <f>VLOOKUP(A102,[2]Sheet1!$A:$L,6,0)</f>
        <v>97.054299999999998</v>
      </c>
      <c r="K102">
        <f>VLOOKUP(A102,[2]Sheet1!$A:$L,7,0)</f>
        <v>102.0977</v>
      </c>
      <c r="L102">
        <f>VLOOKUP(A102,[2]Sheet1!$A:$L,8,0)</f>
        <v>95.370199999999997</v>
      </c>
    </row>
    <row r="103" spans="1:12" ht="15" thickBot="1" x14ac:dyDescent="0.35">
      <c r="A103" s="9">
        <v>41579</v>
      </c>
      <c r="B103" s="3">
        <v>4.3600000000000003</v>
      </c>
      <c r="C103" s="12">
        <v>16086.41</v>
      </c>
      <c r="D103" s="3">
        <v>92.72</v>
      </c>
      <c r="E103" s="3">
        <v>3.9540000000000002</v>
      </c>
      <c r="F103" t="e">
        <f>VLOOKUP(A103,[1]edited!$C:$D,2,0)</f>
        <v>#N/A</v>
      </c>
      <c r="H103">
        <f>VLOOKUP(A103,[2]Sheet1!$A:$L,2,0)</f>
        <v>99.996099999999998</v>
      </c>
      <c r="I103">
        <f>VLOOKUP(A103,[2]Sheet1!$A:$L,3,0)</f>
        <v>103.3733</v>
      </c>
      <c r="J103">
        <f>VLOOKUP(A103,[2]Sheet1!$A:$L,6,0)</f>
        <v>96.247200000000007</v>
      </c>
      <c r="K103">
        <f>VLOOKUP(A103,[2]Sheet1!$A:$L,7,0)</f>
        <v>101.7555</v>
      </c>
      <c r="L103">
        <f>VLOOKUP(A103,[2]Sheet1!$A:$L,8,0)</f>
        <v>95.0214</v>
      </c>
    </row>
    <row r="104" spans="1:12" ht="15" thickBot="1" x14ac:dyDescent="0.35">
      <c r="A104" s="9">
        <v>41609</v>
      </c>
      <c r="B104" s="3">
        <v>4.83</v>
      </c>
      <c r="C104" s="12">
        <v>16576.66</v>
      </c>
      <c r="D104" s="3">
        <v>98.42</v>
      </c>
      <c r="E104" s="3">
        <v>4.2300000000000004</v>
      </c>
      <c r="F104">
        <f>VLOOKUP(A104,[1]edited!$C:$D,2,0)</f>
        <v>17192</v>
      </c>
      <c r="H104">
        <f>VLOOKUP(A104,[2]Sheet1!$A:$L,2,0)</f>
        <v>99.832499999999996</v>
      </c>
      <c r="I104">
        <f>VLOOKUP(A104,[2]Sheet1!$A:$L,3,0)</f>
        <v>103.74639999999999</v>
      </c>
      <c r="J104">
        <f>VLOOKUP(A104,[2]Sheet1!$A:$L,6,0)</f>
        <v>95.757599999999996</v>
      </c>
      <c r="K104">
        <f>VLOOKUP(A104,[2]Sheet1!$A:$L,7,0)</f>
        <v>102.0692</v>
      </c>
      <c r="L104">
        <f>VLOOKUP(A104,[2]Sheet1!$A:$L,8,0)</f>
        <v>95.525300000000001</v>
      </c>
    </row>
    <row r="105" spans="1:12" ht="15" thickBot="1" x14ac:dyDescent="0.35">
      <c r="A105" s="9">
        <v>41640</v>
      </c>
      <c r="B105" s="3">
        <v>5.5</v>
      </c>
      <c r="C105" s="12">
        <v>15698.85</v>
      </c>
      <c r="D105" s="3">
        <v>97.49</v>
      </c>
      <c r="E105" s="3">
        <v>4.9429999999999996</v>
      </c>
      <c r="F105" t="e">
        <f>VLOOKUP(A105,[1]edited!$C:$D,2,0)</f>
        <v>#N/A</v>
      </c>
      <c r="G105">
        <v>17.168006999999999</v>
      </c>
      <c r="H105">
        <f>VLOOKUP(A105,[2]Sheet1!$A:$L,2,0)</f>
        <v>98.775499999999994</v>
      </c>
      <c r="I105">
        <f>VLOOKUP(A105,[2]Sheet1!$A:$L,3,0)</f>
        <v>104.8429</v>
      </c>
      <c r="J105">
        <f>VLOOKUP(A105,[2]Sheet1!$A:$L,6,0)</f>
        <v>94.747500000000002</v>
      </c>
      <c r="K105">
        <f>VLOOKUP(A105,[2]Sheet1!$A:$L,7,0)</f>
        <v>101.3117</v>
      </c>
      <c r="L105">
        <f>VLOOKUP(A105,[2]Sheet1!$A:$L,8,0)</f>
        <v>94.883099999999999</v>
      </c>
    </row>
    <row r="106" spans="1:12" ht="15" thickBot="1" x14ac:dyDescent="0.35">
      <c r="A106" s="9">
        <v>41671</v>
      </c>
      <c r="B106" s="3">
        <v>7.06</v>
      </c>
      <c r="C106" s="12">
        <v>16321.71</v>
      </c>
      <c r="D106" s="3">
        <v>102.59</v>
      </c>
      <c r="E106" s="3">
        <v>4.609</v>
      </c>
      <c r="F106" t="e">
        <f>VLOOKUP(A106,[1]edited!$C:$D,2,0)</f>
        <v>#N/A</v>
      </c>
      <c r="H106">
        <f>VLOOKUP(A106,[2]Sheet1!$A:$L,2,0)</f>
        <v>99.6952</v>
      </c>
      <c r="I106">
        <f>VLOOKUP(A106,[2]Sheet1!$A:$L,3,0)</f>
        <v>105.5227</v>
      </c>
      <c r="J106">
        <f>VLOOKUP(A106,[2]Sheet1!$A:$L,6,0)</f>
        <v>94.777100000000004</v>
      </c>
      <c r="K106">
        <f>VLOOKUP(A106,[2]Sheet1!$A:$L,7,0)</f>
        <v>101.22239999999999</v>
      </c>
      <c r="L106">
        <f>VLOOKUP(A106,[2]Sheet1!$A:$L,8,0)</f>
        <v>95.841800000000006</v>
      </c>
    </row>
    <row r="107" spans="1:12" ht="15" thickBot="1" x14ac:dyDescent="0.35">
      <c r="A107" s="9">
        <v>41699</v>
      </c>
      <c r="B107" s="3">
        <v>4.6399999999999997</v>
      </c>
      <c r="C107" s="12">
        <v>16457.66</v>
      </c>
      <c r="D107" s="3">
        <v>101.58</v>
      </c>
      <c r="E107" s="3">
        <v>4.3710000000000004</v>
      </c>
      <c r="F107">
        <f>VLOOKUP(A107,[1]edited!$C:$D,2,0)</f>
        <v>17197.7</v>
      </c>
      <c r="H107">
        <f>VLOOKUP(A107,[2]Sheet1!$A:$L,2,0)</f>
        <v>100.587</v>
      </c>
      <c r="I107">
        <f>VLOOKUP(A107,[2]Sheet1!$A:$L,3,0)</f>
        <v>107.2381</v>
      </c>
      <c r="J107">
        <f>VLOOKUP(A107,[2]Sheet1!$A:$L,6,0)</f>
        <v>94.810500000000005</v>
      </c>
      <c r="K107">
        <f>VLOOKUP(A107,[2]Sheet1!$A:$L,7,0)</f>
        <v>102.0891</v>
      </c>
      <c r="L107">
        <f>VLOOKUP(A107,[2]Sheet1!$A:$L,8,0)</f>
        <v>97.311800000000005</v>
      </c>
    </row>
    <row r="108" spans="1:12" ht="15" thickBot="1" x14ac:dyDescent="0.35">
      <c r="A108" s="9">
        <v>41730</v>
      </c>
      <c r="B108" s="3">
        <v>5.4</v>
      </c>
      <c r="C108" s="12">
        <v>16580.84</v>
      </c>
      <c r="D108" s="3">
        <v>99.74</v>
      </c>
      <c r="E108" s="3">
        <v>4.8150000000000004</v>
      </c>
      <c r="F108" t="e">
        <f>VLOOKUP(A108,[1]edited!$C:$D,2,0)</f>
        <v>#N/A</v>
      </c>
      <c r="H108">
        <f>VLOOKUP(A108,[2]Sheet1!$A:$L,2,0)</f>
        <v>100.5534</v>
      </c>
      <c r="I108">
        <f>VLOOKUP(A108,[2]Sheet1!$A:$L,3,0)</f>
        <v>108.9038</v>
      </c>
      <c r="J108">
        <f>VLOOKUP(A108,[2]Sheet1!$A:$L,6,0)</f>
        <v>95.0655</v>
      </c>
      <c r="K108">
        <f>VLOOKUP(A108,[2]Sheet1!$A:$L,7,0)</f>
        <v>102.2744</v>
      </c>
      <c r="L108">
        <f>VLOOKUP(A108,[2]Sheet1!$A:$L,8,0)</f>
        <v>96.958399999999997</v>
      </c>
    </row>
    <row r="109" spans="1:12" ht="15" thickBot="1" x14ac:dyDescent="0.35">
      <c r="A109" s="9">
        <v>41760</v>
      </c>
      <c r="B109" s="3">
        <v>5.05</v>
      </c>
      <c r="C109" s="12">
        <v>16717.169999999998</v>
      </c>
      <c r="D109" s="3">
        <v>102.71</v>
      </c>
      <c r="E109" s="3">
        <v>4.5419999999999998</v>
      </c>
      <c r="F109" t="e">
        <f>VLOOKUP(A109,[1]edited!$C:$D,2,0)</f>
        <v>#N/A</v>
      </c>
      <c r="H109">
        <f>VLOOKUP(A109,[2]Sheet1!$A:$L,2,0)</f>
        <v>100.8479</v>
      </c>
      <c r="I109">
        <f>VLOOKUP(A109,[2]Sheet1!$A:$L,3,0)</f>
        <v>109.5287</v>
      </c>
      <c r="J109">
        <f>VLOOKUP(A109,[2]Sheet1!$A:$L,6,0)</f>
        <v>93.305099999999996</v>
      </c>
      <c r="K109">
        <f>VLOOKUP(A109,[2]Sheet1!$A:$L,7,0)</f>
        <v>101.46080000000001</v>
      </c>
      <c r="L109">
        <f>VLOOKUP(A109,[2]Sheet1!$A:$L,8,0)</f>
        <v>98.628799999999998</v>
      </c>
    </row>
    <row r="110" spans="1:12" ht="15" thickBot="1" x14ac:dyDescent="0.35">
      <c r="A110" s="9">
        <v>41791</v>
      </c>
      <c r="B110" s="3">
        <v>5.81</v>
      </c>
      <c r="C110" s="12">
        <v>16826.599999999999</v>
      </c>
      <c r="D110" s="3">
        <v>105.37</v>
      </c>
      <c r="E110" s="3">
        <v>4.4610000000000003</v>
      </c>
      <c r="F110">
        <f>VLOOKUP(A110,[1]edited!$C:$D,2,0)</f>
        <v>17518.5</v>
      </c>
      <c r="H110">
        <f>VLOOKUP(A110,[2]Sheet1!$A:$L,2,0)</f>
        <v>101.1632</v>
      </c>
      <c r="I110">
        <f>VLOOKUP(A110,[2]Sheet1!$A:$L,3,0)</f>
        <v>110.5651</v>
      </c>
      <c r="J110">
        <f>VLOOKUP(A110,[2]Sheet1!$A:$L,6,0)</f>
        <v>91.736400000000003</v>
      </c>
      <c r="K110">
        <f>VLOOKUP(A110,[2]Sheet1!$A:$L,7,0)</f>
        <v>102.50069999999999</v>
      </c>
      <c r="L110">
        <f>VLOOKUP(A110,[2]Sheet1!$A:$L,8,0)</f>
        <v>99.959299999999999</v>
      </c>
    </row>
    <row r="111" spans="1:12" ht="15" thickBot="1" x14ac:dyDescent="0.35">
      <c r="A111" s="9">
        <v>41821</v>
      </c>
      <c r="B111" s="3">
        <v>6.19</v>
      </c>
      <c r="C111" s="12">
        <v>16563.3</v>
      </c>
      <c r="D111" s="3">
        <v>98.17</v>
      </c>
      <c r="E111" s="3">
        <v>3.8410000000000002</v>
      </c>
      <c r="F111" t="e">
        <f>VLOOKUP(A111,[1]edited!$C:$D,2,0)</f>
        <v>#N/A</v>
      </c>
      <c r="H111">
        <f>VLOOKUP(A111,[2]Sheet1!$A:$L,2,0)</f>
        <v>101.5934</v>
      </c>
      <c r="I111">
        <f>VLOOKUP(A111,[2]Sheet1!$A:$L,3,0)</f>
        <v>111.10769999999999</v>
      </c>
      <c r="J111">
        <f>VLOOKUP(A111,[2]Sheet1!$A:$L,6,0)</f>
        <v>92.757599999999996</v>
      </c>
      <c r="K111">
        <f>VLOOKUP(A111,[2]Sheet1!$A:$L,7,0)</f>
        <v>102.79940000000001</v>
      </c>
      <c r="L111">
        <f>VLOOKUP(A111,[2]Sheet1!$A:$L,8,0)</f>
        <v>98.694900000000004</v>
      </c>
    </row>
    <row r="112" spans="1:12" ht="15" thickBot="1" x14ac:dyDescent="0.35">
      <c r="A112" s="9">
        <v>41852</v>
      </c>
      <c r="B112" s="3">
        <v>6.38</v>
      </c>
      <c r="C112" s="12">
        <v>17098.45</v>
      </c>
      <c r="D112" s="3">
        <v>95.96</v>
      </c>
      <c r="E112" s="3">
        <v>4.0650000000000004</v>
      </c>
      <c r="F112" t="e">
        <f>VLOOKUP(A112,[1]edited!$C:$D,2,0)</f>
        <v>#N/A</v>
      </c>
      <c r="H112">
        <f>VLOOKUP(A112,[2]Sheet1!$A:$L,2,0)</f>
        <v>101.0222</v>
      </c>
      <c r="I112">
        <f>VLOOKUP(A112,[2]Sheet1!$A:$L,3,0)</f>
        <v>111.76779999999999</v>
      </c>
      <c r="J112">
        <f>VLOOKUP(A112,[2]Sheet1!$A:$L,6,0)</f>
        <v>92.418999999999997</v>
      </c>
      <c r="K112">
        <f>VLOOKUP(A112,[2]Sheet1!$A:$L,7,0)</f>
        <v>103.3719</v>
      </c>
      <c r="L112">
        <f>VLOOKUP(A112,[2]Sheet1!$A:$L,8,0)</f>
        <v>98.599500000000006</v>
      </c>
    </row>
    <row r="113" spans="1:12" ht="15" thickBot="1" x14ac:dyDescent="0.35">
      <c r="A113" s="9">
        <v>41883</v>
      </c>
      <c r="B113" s="3">
        <v>5.82</v>
      </c>
      <c r="C113" s="12">
        <v>17042.900000000001</v>
      </c>
      <c r="D113" s="3">
        <v>91.16</v>
      </c>
      <c r="E113" s="3">
        <v>4.1210000000000004</v>
      </c>
      <c r="F113">
        <f>VLOOKUP(A113,[1]edited!$C:$D,2,0)</f>
        <v>17804.2</v>
      </c>
      <c r="H113">
        <f>VLOOKUP(A113,[2]Sheet1!$A:$L,2,0)</f>
        <v>101.0361</v>
      </c>
      <c r="I113">
        <f>VLOOKUP(A113,[2]Sheet1!$A:$L,3,0)</f>
        <v>112.1057</v>
      </c>
      <c r="J113">
        <f>VLOOKUP(A113,[2]Sheet1!$A:$L,6,0)</f>
        <v>91.369299999999996</v>
      </c>
      <c r="K113">
        <f>VLOOKUP(A113,[2]Sheet1!$A:$L,7,0)</f>
        <v>103.2402</v>
      </c>
      <c r="L113">
        <f>VLOOKUP(A113,[2]Sheet1!$A:$L,8,0)</f>
        <v>99.031300000000002</v>
      </c>
    </row>
    <row r="114" spans="1:12" ht="15" thickBot="1" x14ac:dyDescent="0.35">
      <c r="A114" s="9">
        <v>41913</v>
      </c>
      <c r="B114" s="3">
        <v>6.34</v>
      </c>
      <c r="C114" s="12">
        <v>17390.52</v>
      </c>
      <c r="D114" s="3">
        <v>80.540000000000006</v>
      </c>
      <c r="E114" s="3">
        <v>3.8730000000000002</v>
      </c>
      <c r="F114" t="e">
        <f>VLOOKUP(A114,[1]edited!$C:$D,2,0)</f>
        <v>#N/A</v>
      </c>
      <c r="H114">
        <f>VLOOKUP(A114,[2]Sheet1!$A:$L,2,0)</f>
        <v>100.9151</v>
      </c>
      <c r="I114">
        <f>VLOOKUP(A114,[2]Sheet1!$A:$L,3,0)</f>
        <v>112.1915</v>
      </c>
      <c r="J114">
        <f>VLOOKUP(A114,[2]Sheet1!$A:$L,6,0)</f>
        <v>89.573099999999997</v>
      </c>
      <c r="K114">
        <f>VLOOKUP(A114,[2]Sheet1!$A:$L,7,0)</f>
        <v>102.34139999999999</v>
      </c>
      <c r="L114">
        <f>VLOOKUP(A114,[2]Sheet1!$A:$L,8,0)</f>
        <v>98.871700000000004</v>
      </c>
    </row>
    <row r="115" spans="1:12" ht="15" thickBot="1" x14ac:dyDescent="0.35">
      <c r="A115" s="9">
        <v>41944</v>
      </c>
      <c r="B115" s="3">
        <v>7.04</v>
      </c>
      <c r="C115" s="12">
        <v>17828.240000000002</v>
      </c>
      <c r="D115" s="3">
        <v>66.150000000000006</v>
      </c>
      <c r="E115" s="3">
        <v>4.0880000000000001</v>
      </c>
      <c r="F115" t="e">
        <f>VLOOKUP(A115,[1]edited!$C:$D,2,0)</f>
        <v>#N/A</v>
      </c>
      <c r="H115">
        <f>VLOOKUP(A115,[2]Sheet1!$A:$L,2,0)</f>
        <v>101.6026</v>
      </c>
      <c r="I115">
        <f>VLOOKUP(A115,[2]Sheet1!$A:$L,3,0)</f>
        <v>111.4931</v>
      </c>
      <c r="J115">
        <f>VLOOKUP(A115,[2]Sheet1!$A:$L,6,0)</f>
        <v>90.468699999999998</v>
      </c>
      <c r="K115">
        <f>VLOOKUP(A115,[2]Sheet1!$A:$L,7,0)</f>
        <v>102.4669</v>
      </c>
      <c r="L115">
        <f>VLOOKUP(A115,[2]Sheet1!$A:$L,8,0)</f>
        <v>100.1874</v>
      </c>
    </row>
    <row r="116" spans="1:12" ht="15" thickBot="1" x14ac:dyDescent="0.35">
      <c r="A116" s="9">
        <v>41974</v>
      </c>
      <c r="B116" s="3">
        <v>7.25</v>
      </c>
      <c r="C116" s="12">
        <v>17823.07</v>
      </c>
      <c r="D116" s="3">
        <v>53.27</v>
      </c>
      <c r="E116" s="3">
        <v>2.8889999999999998</v>
      </c>
      <c r="F116">
        <f>VLOOKUP(A116,[1]edited!$C:$D,2,0)</f>
        <v>17912.099999999999</v>
      </c>
      <c r="H116">
        <f>VLOOKUP(A116,[2]Sheet1!$A:$L,2,0)</f>
        <v>101.38460000000001</v>
      </c>
      <c r="I116">
        <f>VLOOKUP(A116,[2]Sheet1!$A:$L,3,0)</f>
        <v>113.4555</v>
      </c>
      <c r="J116">
        <f>VLOOKUP(A116,[2]Sheet1!$A:$L,6,0)</f>
        <v>91.156499999999994</v>
      </c>
      <c r="K116">
        <f>VLOOKUP(A116,[2]Sheet1!$A:$L,7,0)</f>
        <v>103.05880000000001</v>
      </c>
      <c r="L116">
        <f>VLOOKUP(A116,[2]Sheet1!$A:$L,8,0)</f>
        <v>99.526300000000006</v>
      </c>
    </row>
    <row r="117" spans="1:12" ht="15" thickBot="1" x14ac:dyDescent="0.35">
      <c r="A117" s="9">
        <v>42005</v>
      </c>
      <c r="B117" s="3">
        <v>7.08</v>
      </c>
      <c r="C117" s="12">
        <v>17164.95</v>
      </c>
      <c r="D117" s="3">
        <v>48.24</v>
      </c>
      <c r="E117" s="3">
        <v>2.6909999999999998</v>
      </c>
      <c r="F117" t="e">
        <f>VLOOKUP(A117,[1]edited!$C:$D,2,0)</f>
        <v>#N/A</v>
      </c>
      <c r="G117">
        <v>16.562982999999999</v>
      </c>
      <c r="H117">
        <f>VLOOKUP(A117,[2]Sheet1!$A:$L,2,0)</f>
        <v>100.8105</v>
      </c>
      <c r="I117">
        <f>VLOOKUP(A117,[2]Sheet1!$A:$L,3,0)</f>
        <v>110.9348</v>
      </c>
      <c r="J117">
        <f>VLOOKUP(A117,[2]Sheet1!$A:$L,6,0)</f>
        <v>89.385300000000001</v>
      </c>
      <c r="K117">
        <f>VLOOKUP(A117,[2]Sheet1!$A:$L,7,0)</f>
        <v>102.7359</v>
      </c>
      <c r="L117">
        <f>VLOOKUP(A117,[2]Sheet1!$A:$L,8,0)</f>
        <v>99.522400000000005</v>
      </c>
    </row>
    <row r="118" spans="1:12" ht="15" thickBot="1" x14ac:dyDescent="0.35">
      <c r="A118" s="9">
        <v>42036</v>
      </c>
      <c r="B118" s="3">
        <v>7.1</v>
      </c>
      <c r="C118" s="12">
        <v>18132.7</v>
      </c>
      <c r="D118" s="3">
        <v>49.76</v>
      </c>
      <c r="E118" s="3">
        <v>2.734</v>
      </c>
      <c r="F118" t="e">
        <f>VLOOKUP(A118,[1]edited!$C:$D,2,0)</f>
        <v>#N/A</v>
      </c>
      <c r="H118">
        <f>VLOOKUP(A118,[2]Sheet1!$A:$L,2,0)</f>
        <v>100.032</v>
      </c>
      <c r="I118">
        <f>VLOOKUP(A118,[2]Sheet1!$A:$L,3,0)</f>
        <v>108.00239999999999</v>
      </c>
      <c r="J118">
        <f>VLOOKUP(A118,[2]Sheet1!$A:$L,6,0)</f>
        <v>90.572800000000001</v>
      </c>
      <c r="K118">
        <f>VLOOKUP(A118,[2]Sheet1!$A:$L,7,0)</f>
        <v>102.5231</v>
      </c>
      <c r="L118">
        <f>VLOOKUP(A118,[2]Sheet1!$A:$L,8,0)</f>
        <v>98.589200000000005</v>
      </c>
    </row>
    <row r="119" spans="1:12" ht="15" thickBot="1" x14ac:dyDescent="0.35">
      <c r="A119" s="9">
        <v>42064</v>
      </c>
      <c r="B119" s="3">
        <v>6.92</v>
      </c>
      <c r="C119" s="12">
        <v>17776.12</v>
      </c>
      <c r="D119" s="3">
        <v>47.6</v>
      </c>
      <c r="E119" s="3">
        <v>2.64</v>
      </c>
      <c r="F119">
        <f>VLOOKUP(A119,[1]edited!$C:$D,2,0)</f>
        <v>18063.5</v>
      </c>
      <c r="H119">
        <f>VLOOKUP(A119,[2]Sheet1!$A:$L,2,0)</f>
        <v>100.40779999999999</v>
      </c>
      <c r="I119">
        <f>VLOOKUP(A119,[2]Sheet1!$A:$L,3,0)</f>
        <v>106.1688</v>
      </c>
      <c r="J119">
        <f>VLOOKUP(A119,[2]Sheet1!$A:$L,6,0)</f>
        <v>89.247699999999995</v>
      </c>
      <c r="K119">
        <f>VLOOKUP(A119,[2]Sheet1!$A:$L,7,0)</f>
        <v>101.7741</v>
      </c>
      <c r="L119">
        <f>VLOOKUP(A119,[2]Sheet1!$A:$L,8,0)</f>
        <v>98.721000000000004</v>
      </c>
    </row>
    <row r="120" spans="1:12" ht="15" thickBot="1" x14ac:dyDescent="0.35">
      <c r="A120" s="9">
        <v>42095</v>
      </c>
      <c r="B120" s="3">
        <v>7.39</v>
      </c>
      <c r="C120" s="12">
        <v>17840.52</v>
      </c>
      <c r="D120" s="3">
        <v>59.63</v>
      </c>
      <c r="E120" s="3">
        <v>2.7509999999999999</v>
      </c>
      <c r="F120" t="e">
        <f>VLOOKUP(A120,[1]edited!$C:$D,2,0)</f>
        <v>#N/A</v>
      </c>
      <c r="H120">
        <f>VLOOKUP(A120,[2]Sheet1!$A:$L,2,0)</f>
        <v>100.376</v>
      </c>
      <c r="I120">
        <f>VLOOKUP(A120,[2]Sheet1!$A:$L,3,0)</f>
        <v>105.1596</v>
      </c>
      <c r="J120">
        <f>VLOOKUP(A120,[2]Sheet1!$A:$L,6,0)</f>
        <v>89.746899999999997</v>
      </c>
      <c r="K120">
        <f>VLOOKUP(A120,[2]Sheet1!$A:$L,7,0)</f>
        <v>102.279</v>
      </c>
      <c r="L120">
        <f>VLOOKUP(A120,[2]Sheet1!$A:$L,8,0)</f>
        <v>99.123000000000005</v>
      </c>
    </row>
    <row r="121" spans="1:12" ht="15" thickBot="1" x14ac:dyDescent="0.35">
      <c r="A121" s="9">
        <v>42125</v>
      </c>
      <c r="B121" s="3">
        <v>7.32</v>
      </c>
      <c r="C121" s="12">
        <v>18010.68</v>
      </c>
      <c r="D121" s="3">
        <v>60.3</v>
      </c>
      <c r="E121" s="3">
        <v>2.6419999999999999</v>
      </c>
      <c r="F121" t="e">
        <f>VLOOKUP(A121,[1]edited!$C:$D,2,0)</f>
        <v>#N/A</v>
      </c>
      <c r="H121">
        <f>VLOOKUP(A121,[2]Sheet1!$A:$L,2,0)</f>
        <v>100.38849999999999</v>
      </c>
      <c r="I121">
        <f>VLOOKUP(A121,[2]Sheet1!$A:$L,3,0)</f>
        <v>103.256</v>
      </c>
      <c r="J121">
        <f>VLOOKUP(A121,[2]Sheet1!$A:$L,6,0)</f>
        <v>89.305300000000003</v>
      </c>
      <c r="K121">
        <f>VLOOKUP(A121,[2]Sheet1!$A:$L,7,0)</f>
        <v>101.2102</v>
      </c>
      <c r="L121">
        <f>VLOOKUP(A121,[2]Sheet1!$A:$L,8,0)</f>
        <v>99.743200000000002</v>
      </c>
    </row>
    <row r="122" spans="1:12" ht="15" thickBot="1" x14ac:dyDescent="0.35">
      <c r="A122" s="9">
        <v>42156</v>
      </c>
      <c r="B122" s="3">
        <v>7.42</v>
      </c>
      <c r="C122" s="12">
        <v>17619.509999999998</v>
      </c>
      <c r="D122" s="3">
        <v>59.47</v>
      </c>
      <c r="E122" s="3">
        <v>2.8319999999999999</v>
      </c>
      <c r="F122">
        <f>VLOOKUP(A122,[1]edited!$C:$D,2,0)</f>
        <v>18279.8</v>
      </c>
      <c r="H122">
        <f>VLOOKUP(A122,[2]Sheet1!$A:$L,2,0)</f>
        <v>100.0235</v>
      </c>
      <c r="I122">
        <f>VLOOKUP(A122,[2]Sheet1!$A:$L,3,0)</f>
        <v>102.2886</v>
      </c>
      <c r="J122">
        <f>VLOOKUP(A122,[2]Sheet1!$A:$L,6,0)</f>
        <v>88.372799999999998</v>
      </c>
      <c r="K122">
        <f>VLOOKUP(A122,[2]Sheet1!$A:$L,7,0)</f>
        <v>101.9632</v>
      </c>
      <c r="L122">
        <f>VLOOKUP(A122,[2]Sheet1!$A:$L,8,0)</f>
        <v>99.170599999999993</v>
      </c>
    </row>
    <row r="123" spans="1:12" ht="15" thickBot="1" x14ac:dyDescent="0.35">
      <c r="A123" s="9">
        <v>42186</v>
      </c>
      <c r="B123" s="3">
        <v>7.85</v>
      </c>
      <c r="C123" s="12">
        <v>17689.86</v>
      </c>
      <c r="D123" s="3">
        <v>47.12</v>
      </c>
      <c r="E123" s="3">
        <v>2.7160000000000002</v>
      </c>
      <c r="F123" t="e">
        <f>VLOOKUP(A123,[1]edited!$C:$D,2,0)</f>
        <v>#N/A</v>
      </c>
      <c r="H123">
        <f>VLOOKUP(A123,[2]Sheet1!$A:$L,2,0)</f>
        <v>100.7573</v>
      </c>
      <c r="I123">
        <f>VLOOKUP(A123,[2]Sheet1!$A:$L,3,0)</f>
        <v>103.0097</v>
      </c>
      <c r="J123">
        <f>VLOOKUP(A123,[2]Sheet1!$A:$L,6,0)</f>
        <v>89.799400000000006</v>
      </c>
      <c r="K123">
        <f>VLOOKUP(A123,[2]Sheet1!$A:$L,7,0)</f>
        <v>101.9704</v>
      </c>
      <c r="L123">
        <f>VLOOKUP(A123,[2]Sheet1!$A:$L,8,0)</f>
        <v>99.800700000000006</v>
      </c>
    </row>
    <row r="124" spans="1:12" ht="15" thickBot="1" x14ac:dyDescent="0.35">
      <c r="A124" s="9">
        <v>42217</v>
      </c>
      <c r="B124" s="3">
        <v>8.0500000000000007</v>
      </c>
      <c r="C124" s="12">
        <v>16528.03</v>
      </c>
      <c r="D124" s="3">
        <v>49.2</v>
      </c>
      <c r="E124" s="3">
        <v>2.6890000000000001</v>
      </c>
      <c r="F124" t="e">
        <f>VLOOKUP(A124,[1]edited!$C:$D,2,0)</f>
        <v>#N/A</v>
      </c>
      <c r="H124">
        <f>VLOOKUP(A124,[2]Sheet1!$A:$L,2,0)</f>
        <v>100.4511</v>
      </c>
      <c r="I124">
        <f>VLOOKUP(A124,[2]Sheet1!$A:$L,3,0)</f>
        <v>103.19459999999999</v>
      </c>
      <c r="J124">
        <f>VLOOKUP(A124,[2]Sheet1!$A:$L,6,0)</f>
        <v>90.457499999999996</v>
      </c>
      <c r="K124">
        <f>VLOOKUP(A124,[2]Sheet1!$A:$L,7,0)</f>
        <v>101.1066</v>
      </c>
      <c r="L124">
        <f>VLOOKUP(A124,[2]Sheet1!$A:$L,8,0)</f>
        <v>101.0513</v>
      </c>
    </row>
    <row r="125" spans="1:12" ht="15" thickBot="1" x14ac:dyDescent="0.35">
      <c r="A125" s="9">
        <v>42248</v>
      </c>
      <c r="B125" s="3">
        <v>8.1300000000000008</v>
      </c>
      <c r="C125" s="12">
        <v>16284.7</v>
      </c>
      <c r="D125" s="3">
        <v>45.09</v>
      </c>
      <c r="E125" s="3">
        <v>2.524</v>
      </c>
      <c r="F125">
        <f>VLOOKUP(A125,[1]edited!$C:$D,2,0)</f>
        <v>18401.599999999999</v>
      </c>
      <c r="H125">
        <f>VLOOKUP(A125,[2]Sheet1!$A:$L,2,0)</f>
        <v>100.1636</v>
      </c>
      <c r="I125">
        <f>VLOOKUP(A125,[2]Sheet1!$A:$L,3,0)</f>
        <v>102.5326</v>
      </c>
      <c r="J125">
        <f>VLOOKUP(A125,[2]Sheet1!$A:$L,6,0)</f>
        <v>91.750600000000006</v>
      </c>
      <c r="K125">
        <f>VLOOKUP(A125,[2]Sheet1!$A:$L,7,0)</f>
        <v>101.7731</v>
      </c>
      <c r="L125">
        <f>VLOOKUP(A125,[2]Sheet1!$A:$L,8,0)</f>
        <v>100.99250000000001</v>
      </c>
    </row>
    <row r="126" spans="1:12" ht="15" thickBot="1" x14ac:dyDescent="0.35">
      <c r="A126" s="9">
        <v>42278</v>
      </c>
      <c r="B126" s="3">
        <v>8.6300000000000008</v>
      </c>
      <c r="C126" s="12">
        <v>17663.54</v>
      </c>
      <c r="D126" s="3">
        <v>46.59</v>
      </c>
      <c r="E126" s="3">
        <v>2.3210000000000002</v>
      </c>
      <c r="F126" t="e">
        <f>VLOOKUP(A126,[1]edited!$C:$D,2,0)</f>
        <v>#N/A</v>
      </c>
      <c r="H126">
        <f>VLOOKUP(A126,[2]Sheet1!$A:$L,2,0)</f>
        <v>100.0498</v>
      </c>
      <c r="I126">
        <f>VLOOKUP(A126,[2]Sheet1!$A:$L,3,0)</f>
        <v>101.2073</v>
      </c>
      <c r="J126">
        <f>VLOOKUP(A126,[2]Sheet1!$A:$L,6,0)</f>
        <v>93.430300000000003</v>
      </c>
      <c r="K126">
        <f>VLOOKUP(A126,[2]Sheet1!$A:$L,7,0)</f>
        <v>101.9071</v>
      </c>
      <c r="L126">
        <f>VLOOKUP(A126,[2]Sheet1!$A:$L,8,0)</f>
        <v>100.7693</v>
      </c>
    </row>
    <row r="127" spans="1:12" ht="15" thickBot="1" x14ac:dyDescent="0.35">
      <c r="A127" s="9">
        <v>42309</v>
      </c>
      <c r="B127" s="3">
        <v>8.58</v>
      </c>
      <c r="C127" s="12">
        <v>17719.919999999998</v>
      </c>
      <c r="D127" s="3">
        <v>41.65</v>
      </c>
      <c r="E127" s="3">
        <v>2.2349999999999999</v>
      </c>
      <c r="F127" t="e">
        <f>VLOOKUP(A127,[1]edited!$C:$D,2,0)</f>
        <v>#N/A</v>
      </c>
      <c r="H127">
        <f>VLOOKUP(A127,[2]Sheet1!$A:$L,2,0)</f>
        <v>99.771900000000002</v>
      </c>
      <c r="I127">
        <f>VLOOKUP(A127,[2]Sheet1!$A:$L,3,0)</f>
        <v>99.570700000000002</v>
      </c>
      <c r="J127">
        <f>VLOOKUP(A127,[2]Sheet1!$A:$L,6,0)</f>
        <v>93.312600000000003</v>
      </c>
      <c r="K127">
        <f>VLOOKUP(A127,[2]Sheet1!$A:$L,7,0)</f>
        <v>102.0796</v>
      </c>
      <c r="L127">
        <f>VLOOKUP(A127,[2]Sheet1!$A:$L,8,0)</f>
        <v>100.82510000000001</v>
      </c>
    </row>
    <row r="128" spans="1:12" ht="15" thickBot="1" x14ac:dyDescent="0.35">
      <c r="A128" s="9">
        <v>42339</v>
      </c>
      <c r="B128" s="3">
        <v>8.2200000000000006</v>
      </c>
      <c r="C128" s="12">
        <v>17425.03</v>
      </c>
      <c r="D128" s="3">
        <v>37.04</v>
      </c>
      <c r="E128" s="3">
        <v>2.3370000000000002</v>
      </c>
      <c r="F128">
        <f>VLOOKUP(A128,[1]edited!$C:$D,2,0)</f>
        <v>18435.099999999999</v>
      </c>
      <c r="H128">
        <f>VLOOKUP(A128,[2]Sheet1!$A:$L,2,0)</f>
        <v>99.497699999999995</v>
      </c>
      <c r="I128">
        <f>VLOOKUP(A128,[2]Sheet1!$A:$L,3,0)</f>
        <v>98.8065</v>
      </c>
      <c r="J128">
        <f>VLOOKUP(A128,[2]Sheet1!$A:$L,6,0)</f>
        <v>92.734700000000004</v>
      </c>
      <c r="K128">
        <f>VLOOKUP(A128,[2]Sheet1!$A:$L,7,0)</f>
        <v>102.0192</v>
      </c>
      <c r="L128">
        <f>VLOOKUP(A128,[2]Sheet1!$A:$L,8,0)</f>
        <v>100.8466</v>
      </c>
    </row>
    <row r="129" spans="1:12" ht="15" thickBot="1" x14ac:dyDescent="0.35">
      <c r="A129" s="9">
        <v>42370</v>
      </c>
      <c r="B129" s="3">
        <v>6.04</v>
      </c>
      <c r="C129" s="12">
        <v>16466.3</v>
      </c>
      <c r="D129" s="3">
        <v>33.619999999999997</v>
      </c>
      <c r="E129" s="3">
        <v>2.298</v>
      </c>
      <c r="F129" t="e">
        <f>VLOOKUP(A129,[1]edited!$C:$D,2,0)</f>
        <v>#N/A</v>
      </c>
      <c r="G129">
        <v>16.053692000000002</v>
      </c>
      <c r="H129">
        <f>VLOOKUP(A129,[2]Sheet1!$A:$L,2,0)</f>
        <v>99.901700000000005</v>
      </c>
      <c r="I129">
        <f>VLOOKUP(A129,[2]Sheet1!$A:$L,3,0)</f>
        <v>97.843599999999995</v>
      </c>
      <c r="J129">
        <f>VLOOKUP(A129,[2]Sheet1!$A:$L,6,0)</f>
        <v>93.067099999999996</v>
      </c>
      <c r="K129">
        <f>VLOOKUP(A129,[2]Sheet1!$A:$L,7,0)</f>
        <v>103.0104</v>
      </c>
      <c r="L129">
        <f>VLOOKUP(A129,[2]Sheet1!$A:$L,8,0)</f>
        <v>100.7286</v>
      </c>
    </row>
    <row r="130" spans="1:12" ht="15" thickBot="1" x14ac:dyDescent="0.35">
      <c r="A130" s="9">
        <v>42401</v>
      </c>
      <c r="B130" s="3">
        <v>4.99</v>
      </c>
      <c r="C130" s="12">
        <v>16516.5</v>
      </c>
      <c r="D130" s="3">
        <v>33.75</v>
      </c>
      <c r="E130" s="3">
        <v>1.7110000000000001</v>
      </c>
      <c r="F130" t="e">
        <f>VLOOKUP(A130,[1]edited!$C:$D,2,0)</f>
        <v>#N/A</v>
      </c>
      <c r="H130">
        <f>VLOOKUP(A130,[2]Sheet1!$A:$L,2,0)</f>
        <v>99.531999999999996</v>
      </c>
      <c r="I130">
        <f>VLOOKUP(A130,[2]Sheet1!$A:$L,3,0)</f>
        <v>96.384600000000006</v>
      </c>
      <c r="J130">
        <f>VLOOKUP(A130,[2]Sheet1!$A:$L,6,0)</f>
        <v>95.407700000000006</v>
      </c>
      <c r="K130">
        <f>VLOOKUP(A130,[2]Sheet1!$A:$L,7,0)</f>
        <v>102.2175</v>
      </c>
      <c r="L130">
        <f>VLOOKUP(A130,[2]Sheet1!$A:$L,8,0)</f>
        <v>100.6955</v>
      </c>
    </row>
    <row r="131" spans="1:12" ht="15" thickBot="1" x14ac:dyDescent="0.35">
      <c r="A131" s="9">
        <v>42430</v>
      </c>
      <c r="B131" s="3">
        <v>5.2</v>
      </c>
      <c r="C131" s="12">
        <v>17685.09</v>
      </c>
      <c r="D131" s="3">
        <v>38.340000000000003</v>
      </c>
      <c r="E131" s="3">
        <v>1.9590000000000001</v>
      </c>
      <c r="F131">
        <f>VLOOKUP(A131,[1]edited!$C:$D,2,0)</f>
        <v>18525.900000000001</v>
      </c>
      <c r="H131">
        <f>VLOOKUP(A131,[2]Sheet1!$A:$L,2,0)</f>
        <v>99.469099999999997</v>
      </c>
      <c r="I131">
        <f>VLOOKUP(A131,[2]Sheet1!$A:$L,3,0)</f>
        <v>95.084199999999996</v>
      </c>
      <c r="J131">
        <f>VLOOKUP(A131,[2]Sheet1!$A:$L,6,0)</f>
        <v>96.657700000000006</v>
      </c>
      <c r="K131">
        <f>VLOOKUP(A131,[2]Sheet1!$A:$L,7,0)</f>
        <v>103.1083</v>
      </c>
      <c r="L131">
        <f>VLOOKUP(A131,[2]Sheet1!$A:$L,8,0)</f>
        <v>100.7863</v>
      </c>
    </row>
    <row r="132" spans="1:12" ht="15" thickBot="1" x14ac:dyDescent="0.35">
      <c r="A132" s="9">
        <v>42461</v>
      </c>
      <c r="B132" s="3">
        <v>6.17</v>
      </c>
      <c r="C132" s="12">
        <v>17773.64</v>
      </c>
      <c r="D132" s="3">
        <v>45.92</v>
      </c>
      <c r="E132" s="3">
        <v>2.1779999999999999</v>
      </c>
      <c r="F132" t="e">
        <f>VLOOKUP(A132,[1]edited!$C:$D,2,0)</f>
        <v>#N/A</v>
      </c>
      <c r="H132">
        <f>VLOOKUP(A132,[2]Sheet1!$A:$L,2,0)</f>
        <v>99.303100000000001</v>
      </c>
      <c r="I132">
        <f>VLOOKUP(A132,[2]Sheet1!$A:$L,3,0)</f>
        <v>93.231099999999998</v>
      </c>
      <c r="J132">
        <f>VLOOKUP(A132,[2]Sheet1!$A:$L,6,0)</f>
        <v>95.158299999999997</v>
      </c>
      <c r="K132">
        <f>VLOOKUP(A132,[2]Sheet1!$A:$L,7,0)</f>
        <v>102.29519999999999</v>
      </c>
      <c r="L132">
        <f>VLOOKUP(A132,[2]Sheet1!$A:$L,8,0)</f>
        <v>101.59739999999999</v>
      </c>
    </row>
    <row r="133" spans="1:12" ht="15" thickBot="1" x14ac:dyDescent="0.35">
      <c r="A133" s="9">
        <v>42491</v>
      </c>
      <c r="B133" s="3">
        <v>6.08</v>
      </c>
      <c r="C133" s="12">
        <v>17787.2</v>
      </c>
      <c r="D133" s="3">
        <v>49.1</v>
      </c>
      <c r="E133" s="3">
        <v>2.2879999999999998</v>
      </c>
      <c r="F133" t="e">
        <f>VLOOKUP(A133,[1]edited!$C:$D,2,0)</f>
        <v>#N/A</v>
      </c>
      <c r="H133">
        <f>VLOOKUP(A133,[2]Sheet1!$A:$L,2,0)</f>
        <v>99.239199999999997</v>
      </c>
      <c r="I133">
        <f>VLOOKUP(A133,[2]Sheet1!$A:$L,3,0)</f>
        <v>93.275700000000001</v>
      </c>
      <c r="J133">
        <f>VLOOKUP(A133,[2]Sheet1!$A:$L,6,0)</f>
        <v>95.265100000000004</v>
      </c>
      <c r="K133">
        <f>VLOOKUP(A133,[2]Sheet1!$A:$L,7,0)</f>
        <v>101.83540000000001</v>
      </c>
      <c r="L133">
        <f>VLOOKUP(A133,[2]Sheet1!$A:$L,8,0)</f>
        <v>101.6541</v>
      </c>
    </row>
    <row r="134" spans="1:12" ht="15" thickBot="1" x14ac:dyDescent="0.35">
      <c r="A134" s="9">
        <v>42522</v>
      </c>
      <c r="B134" s="3">
        <v>4.46</v>
      </c>
      <c r="C134" s="12">
        <v>17929.990000000002</v>
      </c>
      <c r="D134" s="3">
        <v>48.33</v>
      </c>
      <c r="E134" s="3">
        <v>2.9239999999999999</v>
      </c>
      <c r="F134">
        <f>VLOOKUP(A134,[1]edited!$C:$D,2,0)</f>
        <v>18711.7</v>
      </c>
      <c r="H134">
        <f>VLOOKUP(A134,[2]Sheet1!$A:$L,2,0)</f>
        <v>99.470600000000005</v>
      </c>
      <c r="I134">
        <f>VLOOKUP(A134,[2]Sheet1!$A:$L,3,0)</f>
        <v>93.0017</v>
      </c>
      <c r="J134">
        <f>VLOOKUP(A134,[2]Sheet1!$A:$L,6,0)</f>
        <v>96.781800000000004</v>
      </c>
      <c r="K134">
        <f>VLOOKUP(A134,[2]Sheet1!$A:$L,7,0)</f>
        <v>100.8031</v>
      </c>
      <c r="L134">
        <f>VLOOKUP(A134,[2]Sheet1!$A:$L,8,0)</f>
        <v>101.2976</v>
      </c>
    </row>
    <row r="135" spans="1:12" ht="15" thickBot="1" x14ac:dyDescent="0.35">
      <c r="A135" s="9">
        <v>42552</v>
      </c>
      <c r="B135" s="3">
        <v>4.41</v>
      </c>
      <c r="C135" s="12">
        <v>18432.240000000002</v>
      </c>
      <c r="D135" s="3">
        <v>41.6</v>
      </c>
      <c r="E135" s="3">
        <v>2.8759999999999999</v>
      </c>
      <c r="F135" t="e">
        <f>VLOOKUP(A135,[1]edited!$C:$D,2,0)</f>
        <v>#N/A</v>
      </c>
      <c r="H135">
        <f>VLOOKUP(A135,[2]Sheet1!$A:$L,2,0)</f>
        <v>99.510900000000007</v>
      </c>
      <c r="I135">
        <f>VLOOKUP(A135,[2]Sheet1!$A:$L,3,0)</f>
        <v>93.467799999999997</v>
      </c>
      <c r="J135">
        <f>VLOOKUP(A135,[2]Sheet1!$A:$L,6,0)</f>
        <v>97.388300000000001</v>
      </c>
      <c r="K135">
        <f>VLOOKUP(A135,[2]Sheet1!$A:$L,7,0)</f>
        <v>100.4864</v>
      </c>
      <c r="L135">
        <f>VLOOKUP(A135,[2]Sheet1!$A:$L,8,0)</f>
        <v>102.4713</v>
      </c>
    </row>
    <row r="136" spans="1:12" ht="15" thickBot="1" x14ac:dyDescent="0.35">
      <c r="A136" s="9">
        <v>42583</v>
      </c>
      <c r="B136" s="3">
        <v>4.46</v>
      </c>
      <c r="C136" s="12">
        <v>18400.88</v>
      </c>
      <c r="D136" s="3">
        <v>44.7</v>
      </c>
      <c r="E136" s="3">
        <v>2.887</v>
      </c>
      <c r="F136" t="e">
        <f>VLOOKUP(A136,[1]edited!$C:$D,2,0)</f>
        <v>#N/A</v>
      </c>
      <c r="H136">
        <f>VLOOKUP(A136,[2]Sheet1!$A:$L,2,0)</f>
        <v>99.168599999999998</v>
      </c>
      <c r="I136">
        <f>VLOOKUP(A136,[2]Sheet1!$A:$L,3,0)</f>
        <v>93.053600000000003</v>
      </c>
      <c r="J136">
        <f>VLOOKUP(A136,[2]Sheet1!$A:$L,6,0)</f>
        <v>97.584199999999996</v>
      </c>
      <c r="K136">
        <f>VLOOKUP(A136,[2]Sheet1!$A:$L,7,0)</f>
        <v>100.0689</v>
      </c>
      <c r="L136">
        <f>VLOOKUP(A136,[2]Sheet1!$A:$L,8,0)</f>
        <v>101.4563</v>
      </c>
    </row>
    <row r="137" spans="1:12" ht="15" thickBot="1" x14ac:dyDescent="0.35">
      <c r="A137" s="9">
        <v>42614</v>
      </c>
      <c r="B137" s="3">
        <v>4.96</v>
      </c>
      <c r="C137" s="12">
        <v>18308.150000000001</v>
      </c>
      <c r="D137" s="3">
        <v>48.24</v>
      </c>
      <c r="E137" s="3">
        <v>2.9060000000000001</v>
      </c>
      <c r="F137">
        <f>VLOOKUP(A137,[1]edited!$C:$D,2,0)</f>
        <v>18892.599999999999</v>
      </c>
      <c r="H137">
        <f>VLOOKUP(A137,[2]Sheet1!$A:$L,2,0)</f>
        <v>99.358199999999997</v>
      </c>
      <c r="I137">
        <f>VLOOKUP(A137,[2]Sheet1!$A:$L,3,0)</f>
        <v>93.482699999999994</v>
      </c>
      <c r="J137">
        <f>VLOOKUP(A137,[2]Sheet1!$A:$L,6,0)</f>
        <v>98.325800000000001</v>
      </c>
      <c r="K137">
        <f>VLOOKUP(A137,[2]Sheet1!$A:$L,7,0)</f>
        <v>100.8674</v>
      </c>
      <c r="L137">
        <f>VLOOKUP(A137,[2]Sheet1!$A:$L,8,0)</f>
        <v>101.9478</v>
      </c>
    </row>
    <row r="138" spans="1:12" ht="15" thickBot="1" x14ac:dyDescent="0.35">
      <c r="A138" s="9">
        <v>42644</v>
      </c>
      <c r="B138" s="3">
        <v>5.9</v>
      </c>
      <c r="C138" s="12">
        <v>18142.419999999998</v>
      </c>
      <c r="D138" s="3">
        <v>46.86</v>
      </c>
      <c r="E138" s="3">
        <v>3.0259999999999998</v>
      </c>
      <c r="F138" t="e">
        <f>VLOOKUP(A138,[1]edited!$C:$D,2,0)</f>
        <v>#N/A</v>
      </c>
      <c r="H138">
        <f>VLOOKUP(A138,[2]Sheet1!$A:$L,2,0)</f>
        <v>99.503299999999996</v>
      </c>
      <c r="I138">
        <f>VLOOKUP(A138,[2]Sheet1!$A:$L,3,0)</f>
        <v>95.0976</v>
      </c>
      <c r="J138">
        <f>VLOOKUP(A138,[2]Sheet1!$A:$L,6,0)</f>
        <v>97.656000000000006</v>
      </c>
      <c r="K138">
        <f>VLOOKUP(A138,[2]Sheet1!$A:$L,7,0)</f>
        <v>100.7152</v>
      </c>
      <c r="L138">
        <f>VLOOKUP(A138,[2]Sheet1!$A:$L,8,0)</f>
        <v>101.9451</v>
      </c>
    </row>
    <row r="139" spans="1:12" ht="15" thickBot="1" x14ac:dyDescent="0.35">
      <c r="A139" s="9">
        <v>42675</v>
      </c>
      <c r="B139" s="3">
        <v>4.58</v>
      </c>
      <c r="C139" s="12">
        <v>19123.580000000002</v>
      </c>
      <c r="D139" s="3">
        <v>49.44</v>
      </c>
      <c r="E139" s="3">
        <v>3.3519999999999999</v>
      </c>
      <c r="F139" t="e">
        <f>VLOOKUP(A139,[1]edited!$C:$D,2,0)</f>
        <v>#N/A</v>
      </c>
      <c r="H139">
        <f>VLOOKUP(A139,[2]Sheet1!$A:$L,2,0)</f>
        <v>99.4315</v>
      </c>
      <c r="I139">
        <f>VLOOKUP(A139,[2]Sheet1!$A:$L,3,0)</f>
        <v>95.118499999999997</v>
      </c>
      <c r="J139">
        <f>VLOOKUP(A139,[2]Sheet1!$A:$L,6,0)</f>
        <v>98.221800000000002</v>
      </c>
      <c r="K139">
        <f>VLOOKUP(A139,[2]Sheet1!$A:$L,7,0)</f>
        <v>100.9769</v>
      </c>
      <c r="L139">
        <f>VLOOKUP(A139,[2]Sheet1!$A:$L,8,0)</f>
        <v>100.541</v>
      </c>
    </row>
    <row r="140" spans="1:12" ht="15" thickBot="1" x14ac:dyDescent="0.35">
      <c r="A140" s="9">
        <v>42705</v>
      </c>
      <c r="B140" s="3">
        <v>6.54</v>
      </c>
      <c r="C140" s="12">
        <v>19762.599999999999</v>
      </c>
      <c r="D140" s="3">
        <v>53.72</v>
      </c>
      <c r="E140" s="3">
        <v>3.7240000000000002</v>
      </c>
      <c r="F140">
        <f>VLOOKUP(A140,[1]edited!$C:$D,2,0)</f>
        <v>19089.400000000001</v>
      </c>
      <c r="H140">
        <f>VLOOKUP(A140,[2]Sheet1!$A:$L,2,0)</f>
        <v>99.461200000000005</v>
      </c>
      <c r="I140">
        <f>VLOOKUP(A140,[2]Sheet1!$A:$L,3,0)</f>
        <v>94.883799999999994</v>
      </c>
      <c r="J140">
        <f>VLOOKUP(A140,[2]Sheet1!$A:$L,6,0)</f>
        <v>97.287700000000001</v>
      </c>
      <c r="K140">
        <f>VLOOKUP(A140,[2]Sheet1!$A:$L,7,0)</f>
        <v>100.9325</v>
      </c>
      <c r="L140">
        <f>VLOOKUP(A140,[2]Sheet1!$A:$L,8,0)</f>
        <v>99.203999999999994</v>
      </c>
    </row>
    <row r="141" spans="1:12" ht="15" thickBot="1" x14ac:dyDescent="0.35">
      <c r="A141" s="9">
        <v>42736</v>
      </c>
      <c r="B141" s="3">
        <v>5.69</v>
      </c>
      <c r="C141" s="12">
        <v>19864.09</v>
      </c>
      <c r="D141" s="3">
        <v>52.81</v>
      </c>
      <c r="E141" s="3">
        <v>3.117</v>
      </c>
      <c r="F141" t="e">
        <f>VLOOKUP(A141,[1]edited!$C:$D,2,0)</f>
        <v>#N/A</v>
      </c>
      <c r="G141">
        <v>15.804429000000001</v>
      </c>
      <c r="H141">
        <f>VLOOKUP(A141,[2]Sheet1!$A:$L,2,0)</f>
        <v>99.628600000000006</v>
      </c>
      <c r="I141">
        <f>VLOOKUP(A141,[2]Sheet1!$A:$L,3,0)</f>
        <v>96.203100000000006</v>
      </c>
      <c r="J141">
        <f>VLOOKUP(A141,[2]Sheet1!$A:$L,6,0)</f>
        <v>98.231399999999994</v>
      </c>
      <c r="K141">
        <f>VLOOKUP(A141,[2]Sheet1!$A:$L,7,0)</f>
        <v>100.3146</v>
      </c>
      <c r="L141">
        <f>VLOOKUP(A141,[2]Sheet1!$A:$L,8,0)</f>
        <v>99.057500000000005</v>
      </c>
    </row>
    <row r="142" spans="1:12" ht="15" thickBot="1" x14ac:dyDescent="0.35">
      <c r="A142" s="9">
        <v>42767</v>
      </c>
      <c r="B142" s="3">
        <v>5.57</v>
      </c>
      <c r="C142" s="12">
        <v>20812.240000000002</v>
      </c>
      <c r="D142" s="3">
        <v>54.01</v>
      </c>
      <c r="E142" s="3">
        <v>2.774</v>
      </c>
      <c r="F142" t="e">
        <f>VLOOKUP(A142,[1]edited!$C:$D,2,0)</f>
        <v>#N/A</v>
      </c>
      <c r="H142">
        <f>VLOOKUP(A142,[2]Sheet1!$A:$L,2,0)</f>
        <v>99.541499999999999</v>
      </c>
      <c r="I142">
        <f>VLOOKUP(A142,[2]Sheet1!$A:$L,3,0)</f>
        <v>97.613699999999994</v>
      </c>
      <c r="J142">
        <f>VLOOKUP(A142,[2]Sheet1!$A:$L,6,0)</f>
        <v>98.3613</v>
      </c>
      <c r="K142">
        <f>VLOOKUP(A142,[2]Sheet1!$A:$L,7,0)</f>
        <v>99.628200000000007</v>
      </c>
      <c r="L142">
        <f>VLOOKUP(A142,[2]Sheet1!$A:$L,8,0)</f>
        <v>100.3793</v>
      </c>
    </row>
    <row r="143" spans="1:12" ht="15" thickBot="1" x14ac:dyDescent="0.35">
      <c r="A143" s="9">
        <v>42795</v>
      </c>
      <c r="B143" s="3">
        <v>5.04</v>
      </c>
      <c r="C143" s="12">
        <v>20663.22</v>
      </c>
      <c r="D143" s="3">
        <v>50.6</v>
      </c>
      <c r="E143" s="3">
        <v>3.19</v>
      </c>
      <c r="F143">
        <f>VLOOKUP(A143,[1]edited!$C:$D,2,0)</f>
        <v>19280.099999999999</v>
      </c>
      <c r="H143">
        <f>VLOOKUP(A143,[2]Sheet1!$A:$L,2,0)</f>
        <v>99.180199999999999</v>
      </c>
      <c r="I143">
        <f>VLOOKUP(A143,[2]Sheet1!$A:$L,3,0)</f>
        <v>98.652500000000003</v>
      </c>
      <c r="J143">
        <f>VLOOKUP(A143,[2]Sheet1!$A:$L,6,0)</f>
        <v>98.906400000000005</v>
      </c>
      <c r="K143">
        <f>VLOOKUP(A143,[2]Sheet1!$A:$L,7,0)</f>
        <v>100.1322</v>
      </c>
      <c r="L143">
        <f>VLOOKUP(A143,[2]Sheet1!$A:$L,8,0)</f>
        <v>98.597300000000004</v>
      </c>
    </row>
    <row r="144" spans="1:12" ht="15" thickBot="1" x14ac:dyDescent="0.35">
      <c r="A144" s="9">
        <v>42826</v>
      </c>
      <c r="B144" s="3">
        <v>4.9400000000000004</v>
      </c>
      <c r="C144" s="12">
        <v>20940.509999999998</v>
      </c>
      <c r="D144" s="3">
        <v>49.33</v>
      </c>
      <c r="E144" s="3">
        <v>3.2759999999999998</v>
      </c>
      <c r="F144" t="e">
        <f>VLOOKUP(A144,[1]edited!$C:$D,2,0)</f>
        <v>#N/A</v>
      </c>
      <c r="H144">
        <f>VLOOKUP(A144,[2]Sheet1!$A:$L,2,0)</f>
        <v>100.2753</v>
      </c>
      <c r="I144">
        <f>VLOOKUP(A144,[2]Sheet1!$A:$L,3,0)</f>
        <v>99.825800000000001</v>
      </c>
      <c r="J144">
        <f>VLOOKUP(A144,[2]Sheet1!$A:$L,6,0)</f>
        <v>101.384</v>
      </c>
      <c r="K144">
        <f>VLOOKUP(A144,[2]Sheet1!$A:$L,7,0)</f>
        <v>100.4007</v>
      </c>
      <c r="L144">
        <f>VLOOKUP(A144,[2]Sheet1!$A:$L,8,0)</f>
        <v>99.339200000000005</v>
      </c>
    </row>
    <row r="145" spans="1:12" ht="15" thickBot="1" x14ac:dyDescent="0.35">
      <c r="A145" s="9">
        <v>42856</v>
      </c>
      <c r="B145" s="3">
        <v>5.35</v>
      </c>
      <c r="C145" s="12">
        <v>21008.65</v>
      </c>
      <c r="D145" s="3">
        <v>48.32</v>
      </c>
      <c r="E145" s="3">
        <v>3.0710000000000002</v>
      </c>
      <c r="F145" t="e">
        <f>VLOOKUP(A145,[1]edited!$C:$D,2,0)</f>
        <v>#N/A</v>
      </c>
      <c r="H145">
        <f>VLOOKUP(A145,[2]Sheet1!$A:$L,2,0)</f>
        <v>100.1347</v>
      </c>
      <c r="I145">
        <f>VLOOKUP(A145,[2]Sheet1!$A:$L,3,0)</f>
        <v>100.2527</v>
      </c>
      <c r="J145">
        <f>VLOOKUP(A145,[2]Sheet1!$A:$L,6,0)</f>
        <v>102.5313</v>
      </c>
      <c r="K145">
        <f>VLOOKUP(A145,[2]Sheet1!$A:$L,7,0)</f>
        <v>101.0141</v>
      </c>
      <c r="L145">
        <f>VLOOKUP(A145,[2]Sheet1!$A:$L,8,0)</f>
        <v>98.841399999999993</v>
      </c>
    </row>
    <row r="146" spans="1:12" ht="15" thickBot="1" x14ac:dyDescent="0.35">
      <c r="A146" s="9">
        <v>42887</v>
      </c>
      <c r="B146" s="3">
        <v>5.42</v>
      </c>
      <c r="C146" s="12">
        <v>21349.63</v>
      </c>
      <c r="D146" s="3">
        <v>46.04</v>
      </c>
      <c r="E146" s="3">
        <v>3.0350000000000001</v>
      </c>
      <c r="F146">
        <f>VLOOKUP(A146,[1]edited!$C:$D,2,0)</f>
        <v>19438.599999999999</v>
      </c>
      <c r="H146">
        <f>VLOOKUP(A146,[2]Sheet1!$A:$L,2,0)</f>
        <v>100.18389999999999</v>
      </c>
      <c r="I146">
        <f>VLOOKUP(A146,[2]Sheet1!$A:$L,3,0)</f>
        <v>101.1835</v>
      </c>
      <c r="J146">
        <f>VLOOKUP(A146,[2]Sheet1!$A:$L,6,0)</f>
        <v>102.4333</v>
      </c>
      <c r="K146">
        <f>VLOOKUP(A146,[2]Sheet1!$A:$L,7,0)</f>
        <v>101.3391</v>
      </c>
      <c r="L146">
        <f>VLOOKUP(A146,[2]Sheet1!$A:$L,8,0)</f>
        <v>99.638800000000003</v>
      </c>
    </row>
    <row r="147" spans="1:12" ht="15" thickBot="1" x14ac:dyDescent="0.35">
      <c r="A147" s="9">
        <v>42917</v>
      </c>
      <c r="B147" s="3">
        <v>5.73</v>
      </c>
      <c r="C147" s="12">
        <v>21891.119999999999</v>
      </c>
      <c r="D147" s="3">
        <v>50.17</v>
      </c>
      <c r="E147" s="3">
        <v>2.794</v>
      </c>
      <c r="F147" t="e">
        <f>VLOOKUP(A147,[1]edited!$C:$D,2,0)</f>
        <v>#N/A</v>
      </c>
      <c r="H147">
        <f>VLOOKUP(A147,[2]Sheet1!$A:$L,2,0)</f>
        <v>99.808000000000007</v>
      </c>
      <c r="I147">
        <f>VLOOKUP(A147,[2]Sheet1!$A:$L,3,0)</f>
        <v>101.15989999999999</v>
      </c>
      <c r="J147">
        <f>VLOOKUP(A147,[2]Sheet1!$A:$L,6,0)</f>
        <v>100.49509999999999</v>
      </c>
      <c r="K147">
        <f>VLOOKUP(A147,[2]Sheet1!$A:$L,7,0)</f>
        <v>101.7235</v>
      </c>
      <c r="L147">
        <f>VLOOKUP(A147,[2]Sheet1!$A:$L,8,0)</f>
        <v>99.909899999999993</v>
      </c>
    </row>
    <row r="148" spans="1:12" ht="15" thickBot="1" x14ac:dyDescent="0.35">
      <c r="A148" s="9">
        <v>42948</v>
      </c>
      <c r="B148" s="3">
        <v>6.54</v>
      </c>
      <c r="C148" s="12">
        <v>21948.1</v>
      </c>
      <c r="D148" s="3">
        <v>47.23</v>
      </c>
      <c r="E148" s="3">
        <v>3.04</v>
      </c>
      <c r="F148" t="e">
        <f>VLOOKUP(A148,[1]edited!$C:$D,2,0)</f>
        <v>#N/A</v>
      </c>
      <c r="H148">
        <f>VLOOKUP(A148,[2]Sheet1!$A:$L,2,0)</f>
        <v>99.614000000000004</v>
      </c>
      <c r="I148">
        <f>VLOOKUP(A148,[2]Sheet1!$A:$L,3,0)</f>
        <v>99.503100000000003</v>
      </c>
      <c r="J148">
        <f>VLOOKUP(A148,[2]Sheet1!$A:$L,6,0)</f>
        <v>99.740300000000005</v>
      </c>
      <c r="K148">
        <f>VLOOKUP(A148,[2]Sheet1!$A:$L,7,0)</f>
        <v>98.466999999999999</v>
      </c>
      <c r="L148">
        <f>VLOOKUP(A148,[2]Sheet1!$A:$L,8,0)</f>
        <v>99.470200000000006</v>
      </c>
    </row>
    <row r="149" spans="1:12" ht="15" thickBot="1" x14ac:dyDescent="0.35">
      <c r="A149" s="9">
        <v>42979</v>
      </c>
      <c r="B149" s="3">
        <v>7.59</v>
      </c>
      <c r="C149" s="12">
        <v>22405.09</v>
      </c>
      <c r="D149" s="3">
        <v>51.67</v>
      </c>
      <c r="E149" s="3">
        <v>3.0070000000000001</v>
      </c>
      <c r="F149">
        <f>VLOOKUP(A149,[1]edited!$C:$D,2,0)</f>
        <v>19692.599999999999</v>
      </c>
      <c r="H149">
        <f>VLOOKUP(A149,[2]Sheet1!$A:$L,2,0)</f>
        <v>99.637100000000004</v>
      </c>
      <c r="I149">
        <f>VLOOKUP(A149,[2]Sheet1!$A:$L,3,0)</f>
        <v>98.6</v>
      </c>
      <c r="J149">
        <f>VLOOKUP(A149,[2]Sheet1!$A:$L,6,0)</f>
        <v>96.3005</v>
      </c>
      <c r="K149">
        <f>VLOOKUP(A149,[2]Sheet1!$A:$L,7,0)</f>
        <v>96.580299999999994</v>
      </c>
      <c r="L149">
        <f>VLOOKUP(A149,[2]Sheet1!$A:$L,8,0)</f>
        <v>100.8904</v>
      </c>
    </row>
    <row r="150" spans="1:12" ht="15" thickBot="1" x14ac:dyDescent="0.35">
      <c r="A150" s="9">
        <v>43009</v>
      </c>
      <c r="B150" s="3">
        <v>7.81</v>
      </c>
      <c r="C150" s="12">
        <v>23377.24</v>
      </c>
      <c r="D150" s="3">
        <v>54.38</v>
      </c>
      <c r="E150" s="3">
        <v>2.8959999999999999</v>
      </c>
      <c r="F150" t="e">
        <f>VLOOKUP(A150,[1]edited!$C:$D,2,0)</f>
        <v>#N/A</v>
      </c>
      <c r="H150">
        <f>VLOOKUP(A150,[2]Sheet1!$A:$L,2,0)</f>
        <v>100.69029999999999</v>
      </c>
      <c r="I150">
        <f>VLOOKUP(A150,[2]Sheet1!$A:$L,3,0)</f>
        <v>101.31310000000001</v>
      </c>
      <c r="J150">
        <f>VLOOKUP(A150,[2]Sheet1!$A:$L,6,0)</f>
        <v>101.13760000000001</v>
      </c>
      <c r="K150">
        <f>VLOOKUP(A150,[2]Sheet1!$A:$L,7,0)</f>
        <v>100.5194</v>
      </c>
      <c r="L150">
        <f>VLOOKUP(A150,[2]Sheet1!$A:$L,8,0)</f>
        <v>100.25020000000001</v>
      </c>
    </row>
    <row r="151" spans="1:12" ht="15" thickBot="1" x14ac:dyDescent="0.35">
      <c r="A151" s="9">
        <v>43040</v>
      </c>
      <c r="B151" s="3">
        <v>7.97</v>
      </c>
      <c r="C151" s="12">
        <v>24272.35</v>
      </c>
      <c r="D151" s="3">
        <v>57.4</v>
      </c>
      <c r="E151" s="3">
        <v>3.0249999999999999</v>
      </c>
      <c r="F151" t="e">
        <f>VLOOKUP(A151,[1]edited!$C:$D,2,0)</f>
        <v>#N/A</v>
      </c>
      <c r="H151">
        <f>VLOOKUP(A151,[2]Sheet1!$A:$L,2,0)</f>
        <v>100.7735</v>
      </c>
      <c r="I151">
        <f>VLOOKUP(A151,[2]Sheet1!$A:$L,3,0)</f>
        <v>102.9177</v>
      </c>
      <c r="J151">
        <f>VLOOKUP(A151,[2]Sheet1!$A:$L,6,0)</f>
        <v>100.4209</v>
      </c>
      <c r="K151">
        <f>VLOOKUP(A151,[2]Sheet1!$A:$L,7,0)</f>
        <v>100.2812</v>
      </c>
      <c r="L151">
        <f>VLOOKUP(A151,[2]Sheet1!$A:$L,8,0)</f>
        <v>102.11539999999999</v>
      </c>
    </row>
    <row r="152" spans="1:12" ht="15" thickBot="1" x14ac:dyDescent="0.35">
      <c r="A152" s="9">
        <v>43070</v>
      </c>
      <c r="B152" s="3">
        <v>8.6</v>
      </c>
      <c r="C152" s="12">
        <v>24719.22</v>
      </c>
      <c r="D152" s="3">
        <v>60.42</v>
      </c>
      <c r="E152" s="3">
        <v>2.9529999999999998</v>
      </c>
      <c r="F152">
        <f>VLOOKUP(A152,[1]edited!$C:$D,2,0)</f>
        <v>20037.099999999999</v>
      </c>
      <c r="H152">
        <f>VLOOKUP(A152,[2]Sheet1!$A:$L,2,0)</f>
        <v>100.5329</v>
      </c>
      <c r="I152">
        <f>VLOOKUP(A152,[2]Sheet1!$A:$L,3,0)</f>
        <v>102.7747</v>
      </c>
      <c r="J152">
        <f>VLOOKUP(A152,[2]Sheet1!$A:$L,6,0)</f>
        <v>100.0579</v>
      </c>
      <c r="K152">
        <f>VLOOKUP(A152,[2]Sheet1!$A:$L,7,0)</f>
        <v>99.599500000000006</v>
      </c>
      <c r="L152">
        <f>VLOOKUP(A152,[2]Sheet1!$A:$L,8,0)</f>
        <v>101.5103</v>
      </c>
    </row>
    <row r="153" spans="1:12" ht="15" thickBot="1" x14ac:dyDescent="0.35">
      <c r="A153" s="9">
        <v>43101</v>
      </c>
      <c r="B153" s="3">
        <v>9.85</v>
      </c>
      <c r="C153" s="12">
        <v>26149.39</v>
      </c>
      <c r="D153" s="3">
        <v>64.73</v>
      </c>
      <c r="E153" s="3">
        <v>2.9950000000000001</v>
      </c>
      <c r="F153" t="e">
        <f>VLOOKUP(A153,[1]edited!$C:$D,2,0)</f>
        <v>#N/A</v>
      </c>
      <c r="G153">
        <v>16.191355000000001</v>
      </c>
      <c r="H153">
        <f>VLOOKUP(A153,[2]Sheet1!$A:$L,2,0)</f>
        <v>100.11620000000001</v>
      </c>
      <c r="I153">
        <f>VLOOKUP(A153,[2]Sheet1!$A:$L,3,0)</f>
        <v>101.94289999999999</v>
      </c>
      <c r="J153">
        <f>VLOOKUP(A153,[2]Sheet1!$A:$L,6,0)</f>
        <v>98.906700000000001</v>
      </c>
      <c r="K153">
        <f>VLOOKUP(A153,[2]Sheet1!$A:$L,7,0)</f>
        <v>98.093999999999994</v>
      </c>
      <c r="L153">
        <f>VLOOKUP(A153,[2]Sheet1!$A:$L,8,0)</f>
        <v>100.9418</v>
      </c>
    </row>
    <row r="154" spans="1:12" ht="15" thickBot="1" x14ac:dyDescent="0.35">
      <c r="A154" s="9">
        <v>43132</v>
      </c>
      <c r="B154" s="3">
        <v>10.73</v>
      </c>
      <c r="C154" s="12">
        <v>25029.200000000001</v>
      </c>
      <c r="D154" s="3">
        <v>61.64</v>
      </c>
      <c r="E154" s="3">
        <v>2.6669999999999998</v>
      </c>
      <c r="F154" t="e">
        <f>VLOOKUP(A154,[1]edited!$C:$D,2,0)</f>
        <v>#N/A</v>
      </c>
      <c r="H154">
        <f>VLOOKUP(A154,[2]Sheet1!$A:$L,2,0)</f>
        <v>101.1392</v>
      </c>
      <c r="I154">
        <f>VLOOKUP(A154,[2]Sheet1!$A:$L,3,0)</f>
        <v>104.13330000000001</v>
      </c>
      <c r="J154">
        <f>VLOOKUP(A154,[2]Sheet1!$A:$L,6,0)</f>
        <v>98.219200000000001</v>
      </c>
      <c r="K154">
        <f>VLOOKUP(A154,[2]Sheet1!$A:$L,7,0)</f>
        <v>98.407799999999995</v>
      </c>
      <c r="L154">
        <f>VLOOKUP(A154,[2]Sheet1!$A:$L,8,0)</f>
        <v>102.221</v>
      </c>
    </row>
    <row r="155" spans="1:12" ht="15" thickBot="1" x14ac:dyDescent="0.35">
      <c r="A155" s="9">
        <v>43160</v>
      </c>
      <c r="B155" s="3">
        <v>14.04</v>
      </c>
      <c r="C155" s="12">
        <v>24103.11</v>
      </c>
      <c r="D155" s="3">
        <v>64.94</v>
      </c>
      <c r="E155" s="3">
        <v>2.7330000000000001</v>
      </c>
      <c r="F155">
        <f>VLOOKUP(A155,[1]edited!$C:$D,2,0)</f>
        <v>20328.599999999999</v>
      </c>
      <c r="H155">
        <f>VLOOKUP(A155,[2]Sheet1!$A:$L,2,0)</f>
        <v>101.03270000000001</v>
      </c>
      <c r="I155">
        <f>VLOOKUP(A155,[2]Sheet1!$A:$L,3,0)</f>
        <v>105.7928</v>
      </c>
      <c r="J155">
        <f>VLOOKUP(A155,[2]Sheet1!$A:$L,6,0)</f>
        <v>98.3035</v>
      </c>
      <c r="K155">
        <f>VLOOKUP(A155,[2]Sheet1!$A:$L,7,0)</f>
        <v>98.551900000000003</v>
      </c>
      <c r="L155">
        <f>VLOOKUP(A155,[2]Sheet1!$A:$L,8,0)</f>
        <v>102.51900000000001</v>
      </c>
    </row>
    <row r="156" spans="1:12" ht="15" thickBot="1" x14ac:dyDescent="0.35">
      <c r="A156" s="9">
        <v>43191</v>
      </c>
      <c r="B156" s="3">
        <v>14.6</v>
      </c>
      <c r="C156" s="12">
        <v>24163.15</v>
      </c>
      <c r="D156" s="3">
        <v>68.569999999999993</v>
      </c>
      <c r="E156" s="3">
        <v>2.7629999999999999</v>
      </c>
      <c r="F156" t="e">
        <f>VLOOKUP(A156,[1]edited!$C:$D,2,0)</f>
        <v>#N/A</v>
      </c>
      <c r="H156">
        <f>VLOOKUP(A156,[2]Sheet1!$A:$L,2,0)</f>
        <v>101.7144</v>
      </c>
      <c r="I156">
        <f>VLOOKUP(A156,[2]Sheet1!$A:$L,3,0)</f>
        <v>106.4449</v>
      </c>
      <c r="J156">
        <f>VLOOKUP(A156,[2]Sheet1!$A:$L,6,0)</f>
        <v>98.729299999999995</v>
      </c>
      <c r="K156">
        <f>VLOOKUP(A156,[2]Sheet1!$A:$L,7,0)</f>
        <v>98.926199999999994</v>
      </c>
      <c r="L156">
        <f>VLOOKUP(A156,[2]Sheet1!$A:$L,8,0)</f>
        <v>102.7384</v>
      </c>
    </row>
    <row r="157" spans="1:12" ht="15" thickBot="1" x14ac:dyDescent="0.35">
      <c r="A157" s="9">
        <v>43221</v>
      </c>
      <c r="B157" s="3">
        <v>16.16</v>
      </c>
      <c r="C157" s="12">
        <v>24415.84</v>
      </c>
      <c r="D157" s="3">
        <v>67.040000000000006</v>
      </c>
      <c r="E157" s="3">
        <v>2.952</v>
      </c>
      <c r="F157" t="e">
        <f>VLOOKUP(A157,[1]edited!$C:$D,2,0)</f>
        <v>#N/A</v>
      </c>
      <c r="H157">
        <f>VLOOKUP(A157,[2]Sheet1!$A:$L,2,0)</f>
        <v>100.8395</v>
      </c>
      <c r="I157">
        <f>VLOOKUP(A157,[2]Sheet1!$A:$L,3,0)</f>
        <v>107.166</v>
      </c>
      <c r="J157">
        <f>VLOOKUP(A157,[2]Sheet1!$A:$L,6,0)</f>
        <v>98.982200000000006</v>
      </c>
      <c r="K157">
        <f>VLOOKUP(A157,[2]Sheet1!$A:$L,7,0)</f>
        <v>98.615200000000002</v>
      </c>
      <c r="L157">
        <f>VLOOKUP(A157,[2]Sheet1!$A:$L,8,0)</f>
        <v>102.1009</v>
      </c>
    </row>
    <row r="158" spans="1:12" ht="15" thickBot="1" x14ac:dyDescent="0.35">
      <c r="A158" s="9">
        <v>43252</v>
      </c>
      <c r="B158" s="3">
        <v>16.510000000000002</v>
      </c>
      <c r="C158" s="12">
        <v>24271.41</v>
      </c>
      <c r="D158" s="3">
        <v>74.150000000000006</v>
      </c>
      <c r="E158" s="3">
        <v>2.9239999999999999</v>
      </c>
      <c r="F158">
        <f>VLOOKUP(A158,[1]edited!$C:$D,2,0)</f>
        <v>20580.900000000001</v>
      </c>
      <c r="H158">
        <f>VLOOKUP(A158,[2]Sheet1!$A:$L,2,0)</f>
        <v>101.4846</v>
      </c>
      <c r="I158">
        <f>VLOOKUP(A158,[2]Sheet1!$A:$L,3,0)</f>
        <v>109.15300000000001</v>
      </c>
      <c r="J158">
        <f>VLOOKUP(A158,[2]Sheet1!$A:$L,6,0)</f>
        <v>99.186599999999999</v>
      </c>
      <c r="K158">
        <f>VLOOKUP(A158,[2]Sheet1!$A:$L,7,0)</f>
        <v>98.860200000000006</v>
      </c>
      <c r="L158">
        <f>VLOOKUP(A158,[2]Sheet1!$A:$L,8,0)</f>
        <v>102.2205</v>
      </c>
    </row>
    <row r="159" spans="1:12" ht="15" thickBot="1" x14ac:dyDescent="0.35">
      <c r="A159" s="9">
        <v>43282</v>
      </c>
      <c r="B159" s="3">
        <v>19.34</v>
      </c>
      <c r="C159" s="12">
        <v>25415.19</v>
      </c>
      <c r="D159" s="3">
        <v>68.760000000000005</v>
      </c>
      <c r="E159" s="3">
        <v>2.782</v>
      </c>
      <c r="F159" t="e">
        <f>VLOOKUP(A159,[1]edited!$C:$D,2,0)</f>
        <v>#N/A</v>
      </c>
      <c r="H159">
        <f>VLOOKUP(A159,[2]Sheet1!$A:$L,2,0)</f>
        <v>101.5187</v>
      </c>
      <c r="I159">
        <f>VLOOKUP(A159,[2]Sheet1!$A:$L,3,0)</f>
        <v>110.5311</v>
      </c>
      <c r="J159">
        <f>VLOOKUP(A159,[2]Sheet1!$A:$L,6,0)</f>
        <v>99.863399999999999</v>
      </c>
      <c r="K159">
        <f>VLOOKUP(A159,[2]Sheet1!$A:$L,7,0)</f>
        <v>99.485399999999998</v>
      </c>
      <c r="L159">
        <f>VLOOKUP(A159,[2]Sheet1!$A:$L,8,0)</f>
        <v>103.8712</v>
      </c>
    </row>
    <row r="160" spans="1:12" ht="15" thickBot="1" x14ac:dyDescent="0.35">
      <c r="A160" s="9">
        <v>43313</v>
      </c>
      <c r="B160" s="3">
        <v>23.2</v>
      </c>
      <c r="C160" s="12">
        <v>25964.82</v>
      </c>
      <c r="D160" s="3">
        <v>69.8</v>
      </c>
      <c r="E160" s="3">
        <v>2.9159999999999999</v>
      </c>
      <c r="F160" t="e">
        <f>VLOOKUP(A160,[1]edited!$C:$D,2,0)</f>
        <v>#N/A</v>
      </c>
      <c r="H160">
        <f>VLOOKUP(A160,[2]Sheet1!$A:$L,2,0)</f>
        <v>101.8438</v>
      </c>
      <c r="I160">
        <f>VLOOKUP(A160,[2]Sheet1!$A:$L,3,0)</f>
        <v>112.3292</v>
      </c>
      <c r="J160">
        <f>VLOOKUP(A160,[2]Sheet1!$A:$L,6,0)</f>
        <v>100.87649999999999</v>
      </c>
      <c r="K160">
        <f>VLOOKUP(A160,[2]Sheet1!$A:$L,7,0)</f>
        <v>98.422300000000007</v>
      </c>
      <c r="L160">
        <f>VLOOKUP(A160,[2]Sheet1!$A:$L,8,0)</f>
        <v>103.1656</v>
      </c>
    </row>
    <row r="161" spans="1:12" ht="15" thickBot="1" x14ac:dyDescent="0.35">
      <c r="A161" s="9">
        <v>43344</v>
      </c>
      <c r="B161" s="3">
        <v>24.63</v>
      </c>
      <c r="C161" s="12">
        <v>26458.31</v>
      </c>
      <c r="D161" s="3">
        <v>73.25</v>
      </c>
      <c r="E161" s="3">
        <v>3.008</v>
      </c>
      <c r="F161">
        <f>VLOOKUP(A161,[1]edited!$C:$D,2,0)</f>
        <v>20798.7</v>
      </c>
      <c r="H161">
        <f>VLOOKUP(A161,[2]Sheet1!$A:$L,2,0)</f>
        <v>101.8535</v>
      </c>
      <c r="I161">
        <f>VLOOKUP(A161,[2]Sheet1!$A:$L,3,0)</f>
        <v>112.77589999999999</v>
      </c>
      <c r="J161">
        <f>VLOOKUP(A161,[2]Sheet1!$A:$L,6,0)</f>
        <v>101.36879999999999</v>
      </c>
      <c r="K161">
        <f>VLOOKUP(A161,[2]Sheet1!$A:$L,7,0)</f>
        <v>98.322599999999994</v>
      </c>
      <c r="L161">
        <f>VLOOKUP(A161,[2]Sheet1!$A:$L,8,0)</f>
        <v>103.9336</v>
      </c>
    </row>
    <row r="162" spans="1:12" ht="15" thickBot="1" x14ac:dyDescent="0.35">
      <c r="A162" s="9">
        <v>43374</v>
      </c>
      <c r="B162" s="3">
        <v>18.489999999999998</v>
      </c>
      <c r="C162" s="12">
        <v>25115.759999999998</v>
      </c>
      <c r="D162" s="3">
        <v>65.31</v>
      </c>
      <c r="E162" s="3">
        <v>3.2610000000000001</v>
      </c>
      <c r="F162" t="e">
        <f>VLOOKUP(A162,[1]edited!$C:$D,2,0)</f>
        <v>#N/A</v>
      </c>
      <c r="H162">
        <f>VLOOKUP(A162,[2]Sheet1!$A:$L,2,0)</f>
        <v>101.3708</v>
      </c>
      <c r="I162">
        <f>VLOOKUP(A162,[2]Sheet1!$A:$L,3,0)</f>
        <v>112.27330000000001</v>
      </c>
      <c r="J162">
        <f>VLOOKUP(A162,[2]Sheet1!$A:$L,6,0)</f>
        <v>101.2979</v>
      </c>
      <c r="K162">
        <f>VLOOKUP(A162,[2]Sheet1!$A:$L,7,0)</f>
        <v>98.121200000000002</v>
      </c>
      <c r="L162">
        <f>VLOOKUP(A162,[2]Sheet1!$A:$L,8,0)</f>
        <v>103.45</v>
      </c>
    </row>
    <row r="163" spans="1:12" ht="15" thickBot="1" x14ac:dyDescent="0.35">
      <c r="A163" s="9">
        <v>43405</v>
      </c>
      <c r="B163" s="3">
        <v>22.7</v>
      </c>
      <c r="C163" s="12">
        <v>25538.46</v>
      </c>
      <c r="D163" s="3">
        <v>50.93</v>
      </c>
      <c r="E163" s="3">
        <v>4.6120000000000001</v>
      </c>
      <c r="F163" t="e">
        <f>VLOOKUP(A163,[1]edited!$C:$D,2,0)</f>
        <v>#N/A</v>
      </c>
      <c r="H163">
        <f>VLOOKUP(A163,[2]Sheet1!$A:$L,2,0)</f>
        <v>101.10299999999999</v>
      </c>
      <c r="I163">
        <f>VLOOKUP(A163,[2]Sheet1!$A:$L,3,0)</f>
        <v>112.7422</v>
      </c>
      <c r="J163">
        <f>VLOOKUP(A163,[2]Sheet1!$A:$L,6,0)</f>
        <v>100.7514</v>
      </c>
      <c r="K163">
        <f>VLOOKUP(A163,[2]Sheet1!$A:$L,7,0)</f>
        <v>98.928100000000001</v>
      </c>
      <c r="L163">
        <f>VLOOKUP(A163,[2]Sheet1!$A:$L,8,0)</f>
        <v>103.9131</v>
      </c>
    </row>
    <row r="164" spans="1:12" ht="15" thickBot="1" x14ac:dyDescent="0.35">
      <c r="A164" s="9">
        <v>43435</v>
      </c>
      <c r="B164" s="3">
        <v>27.06</v>
      </c>
      <c r="C164" s="12">
        <v>23327.46</v>
      </c>
      <c r="D164" s="3">
        <v>45.41</v>
      </c>
      <c r="E164" s="3">
        <v>2.94</v>
      </c>
      <c r="F164">
        <f>VLOOKUP(A164,[1]edited!$C:$D,2,0)</f>
        <v>20917.900000000001</v>
      </c>
      <c r="H164">
        <f>VLOOKUP(A164,[2]Sheet1!$A:$L,2,0)</f>
        <v>101.4194</v>
      </c>
      <c r="I164">
        <f>VLOOKUP(A164,[2]Sheet1!$A:$L,3,0)</f>
        <v>114.17959999999999</v>
      </c>
      <c r="J164">
        <f>VLOOKUP(A164,[2]Sheet1!$A:$L,6,0)</f>
        <v>102.1232</v>
      </c>
      <c r="K164">
        <f>VLOOKUP(A164,[2]Sheet1!$A:$L,7,0)</f>
        <v>98.691400000000002</v>
      </c>
      <c r="L164">
        <f>VLOOKUP(A164,[2]Sheet1!$A:$L,8,0)</f>
        <v>104.6934</v>
      </c>
    </row>
    <row r="165" spans="1:12" ht="15" thickBot="1" x14ac:dyDescent="0.35">
      <c r="A165" s="9">
        <v>43466</v>
      </c>
      <c r="B165" s="3">
        <v>23.9</v>
      </c>
      <c r="C165" s="12">
        <v>24999.67</v>
      </c>
      <c r="D165" s="3">
        <v>53.79</v>
      </c>
      <c r="E165" s="3">
        <v>2.8140000000000001</v>
      </c>
      <c r="F165" t="e">
        <f>VLOOKUP(A165,[1]edited!$C:$D,2,0)</f>
        <v>#N/A</v>
      </c>
      <c r="G165">
        <v>15.739860999999999</v>
      </c>
      <c r="H165">
        <f>VLOOKUP(A165,[2]Sheet1!$A:$L,2,0)</f>
        <v>100.5406</v>
      </c>
      <c r="I165">
        <f>VLOOKUP(A165,[2]Sheet1!$A:$L,3,0)</f>
        <v>113.53570000000001</v>
      </c>
      <c r="J165">
        <f>VLOOKUP(A165,[2]Sheet1!$A:$L,6,0)</f>
        <v>102.8569</v>
      </c>
      <c r="K165">
        <f>VLOOKUP(A165,[2]Sheet1!$A:$L,7,0)</f>
        <v>97.9512</v>
      </c>
      <c r="L165">
        <f>VLOOKUP(A165,[2]Sheet1!$A:$L,8,0)</f>
        <v>103.7042</v>
      </c>
    </row>
    <row r="166" spans="1:12" ht="15" thickBot="1" x14ac:dyDescent="0.35">
      <c r="A166" s="9">
        <v>43497</v>
      </c>
      <c r="B166" s="3">
        <v>23.13</v>
      </c>
      <c r="C166" s="12">
        <v>25916</v>
      </c>
      <c r="D166" s="3">
        <v>57.22</v>
      </c>
      <c r="E166" s="3">
        <v>2.8119999999999998</v>
      </c>
      <c r="F166" t="e">
        <f>VLOOKUP(A166,[1]edited!$C:$D,2,0)</f>
        <v>#N/A</v>
      </c>
      <c r="H166">
        <f>VLOOKUP(A166,[2]Sheet1!$A:$L,2,0)</f>
        <v>100.0431</v>
      </c>
      <c r="I166">
        <f>VLOOKUP(A166,[2]Sheet1!$A:$L,3,0)</f>
        <v>112.0642</v>
      </c>
      <c r="J166">
        <f>VLOOKUP(A166,[2]Sheet1!$A:$L,6,0)</f>
        <v>99.279499999999999</v>
      </c>
      <c r="K166">
        <f>VLOOKUP(A166,[2]Sheet1!$A:$L,7,0)</f>
        <v>98.089200000000005</v>
      </c>
      <c r="L166">
        <f>VLOOKUP(A166,[2]Sheet1!$A:$L,8,0)</f>
        <v>102.8271</v>
      </c>
    </row>
    <row r="167" spans="1:12" ht="15" thickBot="1" x14ac:dyDescent="0.35">
      <c r="A167" s="9">
        <v>43525</v>
      </c>
      <c r="B167" s="3">
        <v>22.82</v>
      </c>
      <c r="C167" s="12">
        <v>25928.68</v>
      </c>
      <c r="D167" s="3">
        <v>60.14</v>
      </c>
      <c r="E167" s="3">
        <v>2.6619999999999999</v>
      </c>
      <c r="F167">
        <f>VLOOKUP(A167,[1]edited!$C:$D,2,0)</f>
        <v>21104.1</v>
      </c>
      <c r="H167">
        <f>VLOOKUP(A167,[2]Sheet1!$A:$L,2,0)</f>
        <v>99.734099999999998</v>
      </c>
      <c r="I167">
        <f>VLOOKUP(A167,[2]Sheet1!$A:$L,3,0)</f>
        <v>111.91800000000001</v>
      </c>
      <c r="J167">
        <f>VLOOKUP(A167,[2]Sheet1!$A:$L,6,0)</f>
        <v>100.5514</v>
      </c>
      <c r="K167">
        <f>VLOOKUP(A167,[2]Sheet1!$A:$L,7,0)</f>
        <v>98.003100000000003</v>
      </c>
      <c r="L167">
        <f>VLOOKUP(A167,[2]Sheet1!$A:$L,8,0)</f>
        <v>102.0932</v>
      </c>
    </row>
    <row r="168" spans="1:12" ht="15" thickBot="1" x14ac:dyDescent="0.35">
      <c r="A168" s="9">
        <v>43556</v>
      </c>
      <c r="B168" s="3">
        <v>27.43</v>
      </c>
      <c r="C168" s="12">
        <v>26592.91</v>
      </c>
      <c r="D168" s="3">
        <v>63.91</v>
      </c>
      <c r="E168" s="3">
        <v>2.5750000000000002</v>
      </c>
      <c r="F168" t="e">
        <f>VLOOKUP(A168,[1]edited!$C:$D,2,0)</f>
        <v>#N/A</v>
      </c>
      <c r="H168">
        <f>VLOOKUP(A168,[2]Sheet1!$A:$L,2,0)</f>
        <v>99.130499999999998</v>
      </c>
      <c r="I168">
        <f>VLOOKUP(A168,[2]Sheet1!$A:$L,3,0)</f>
        <v>113.6587</v>
      </c>
      <c r="J168">
        <f>VLOOKUP(A168,[2]Sheet1!$A:$L,6,0)</f>
        <v>100.3289</v>
      </c>
      <c r="K168">
        <f>VLOOKUP(A168,[2]Sheet1!$A:$L,7,0)</f>
        <v>97.301100000000005</v>
      </c>
      <c r="L168">
        <f>VLOOKUP(A168,[2]Sheet1!$A:$L,8,0)</f>
        <v>100.66079999999999</v>
      </c>
    </row>
    <row r="169" spans="1:12" ht="15" thickBot="1" x14ac:dyDescent="0.35">
      <c r="A169" s="9">
        <v>43586</v>
      </c>
      <c r="B169" s="3">
        <v>25.45</v>
      </c>
      <c r="C169" s="12">
        <v>24815.040000000001</v>
      </c>
      <c r="D169" s="3">
        <v>53.5</v>
      </c>
      <c r="E169" s="3">
        <v>2.4540000000000002</v>
      </c>
      <c r="F169" t="e">
        <f>VLOOKUP(A169,[1]edited!$C:$D,2,0)</f>
        <v>#N/A</v>
      </c>
      <c r="H169">
        <f>VLOOKUP(A169,[2]Sheet1!$A:$L,2,0)</f>
        <v>99.178399999999996</v>
      </c>
      <c r="I169">
        <f>VLOOKUP(A169,[2]Sheet1!$A:$L,3,0)</f>
        <v>113.43089999999999</v>
      </c>
      <c r="J169">
        <f>VLOOKUP(A169,[2]Sheet1!$A:$L,6,0)</f>
        <v>100.7741</v>
      </c>
      <c r="K169">
        <f>VLOOKUP(A169,[2]Sheet1!$A:$L,7,0)</f>
        <v>96.430300000000003</v>
      </c>
      <c r="L169">
        <f>VLOOKUP(A169,[2]Sheet1!$A:$L,8,0)</f>
        <v>101.7435</v>
      </c>
    </row>
    <row r="170" spans="1:12" ht="15" thickBot="1" x14ac:dyDescent="0.35">
      <c r="A170" s="9">
        <v>43617</v>
      </c>
      <c r="B170" s="3">
        <v>27.5</v>
      </c>
      <c r="C170" s="12">
        <v>26599.96</v>
      </c>
      <c r="D170" s="3">
        <v>58.47</v>
      </c>
      <c r="E170" s="3">
        <v>2.3079999999999998</v>
      </c>
      <c r="F170">
        <f>VLOOKUP(A170,[1]edited!$C:$D,2,0)</f>
        <v>21384.799999999999</v>
      </c>
      <c r="H170">
        <f>VLOOKUP(A170,[2]Sheet1!$A:$L,2,0)</f>
        <v>99.600800000000007</v>
      </c>
      <c r="I170">
        <f>VLOOKUP(A170,[2]Sheet1!$A:$L,3,0)</f>
        <v>113.6011</v>
      </c>
      <c r="J170">
        <f>VLOOKUP(A170,[2]Sheet1!$A:$L,6,0)</f>
        <v>101.44029999999999</v>
      </c>
      <c r="K170">
        <f>VLOOKUP(A170,[2]Sheet1!$A:$L,7,0)</f>
        <v>96.242800000000003</v>
      </c>
      <c r="L170">
        <f>VLOOKUP(A170,[2]Sheet1!$A:$L,8,0)</f>
        <v>102.31740000000001</v>
      </c>
    </row>
    <row r="171" spans="1:12" ht="15" thickBot="1" x14ac:dyDescent="0.35">
      <c r="A171" s="9">
        <v>43647</v>
      </c>
      <c r="B171" s="3">
        <v>29.38</v>
      </c>
      <c r="C171" s="12">
        <v>26864.27</v>
      </c>
      <c r="D171" s="3">
        <v>58.58</v>
      </c>
      <c r="E171" s="3">
        <v>2.2330000000000001</v>
      </c>
      <c r="F171" t="e">
        <f>VLOOKUP(A171,[1]edited!$C:$D,2,0)</f>
        <v>#N/A</v>
      </c>
      <c r="H171">
        <f>VLOOKUP(A171,[2]Sheet1!$A:$L,2,0)</f>
        <v>98.919700000000006</v>
      </c>
      <c r="I171">
        <f>VLOOKUP(A171,[2]Sheet1!$A:$L,3,0)</f>
        <v>111.7469</v>
      </c>
      <c r="J171">
        <f>VLOOKUP(A171,[2]Sheet1!$A:$L,6,0)</f>
        <v>102.1131</v>
      </c>
      <c r="K171">
        <f>VLOOKUP(A171,[2]Sheet1!$A:$L,7,0)</f>
        <v>96.994900000000001</v>
      </c>
      <c r="L171">
        <f>VLOOKUP(A171,[2]Sheet1!$A:$L,8,0)</f>
        <v>99.653599999999997</v>
      </c>
    </row>
    <row r="172" spans="1:12" ht="15" thickBot="1" x14ac:dyDescent="0.35">
      <c r="A172" s="9">
        <v>43678</v>
      </c>
      <c r="B172" s="3">
        <v>27.37</v>
      </c>
      <c r="C172" s="12">
        <v>26403.279999999999</v>
      </c>
      <c r="D172" s="3">
        <v>55.1</v>
      </c>
      <c r="E172" s="3">
        <v>2.2850000000000001</v>
      </c>
      <c r="F172" t="e">
        <f>VLOOKUP(A172,[1]edited!$C:$D,2,0)</f>
        <v>#N/A</v>
      </c>
      <c r="H172">
        <f>VLOOKUP(A172,[2]Sheet1!$A:$L,2,0)</f>
        <v>99.575800000000001</v>
      </c>
      <c r="I172">
        <f>VLOOKUP(A172,[2]Sheet1!$A:$L,3,0)</f>
        <v>114.2878</v>
      </c>
      <c r="J172">
        <f>VLOOKUP(A172,[2]Sheet1!$A:$L,6,0)</f>
        <v>102.1018</v>
      </c>
      <c r="K172">
        <f>VLOOKUP(A172,[2]Sheet1!$A:$L,7,0)</f>
        <v>97.765699999999995</v>
      </c>
      <c r="L172">
        <f>VLOOKUP(A172,[2]Sheet1!$A:$L,8,0)</f>
        <v>100.81229999999999</v>
      </c>
    </row>
    <row r="173" spans="1:12" ht="15" thickBot="1" x14ac:dyDescent="0.35">
      <c r="A173" s="9">
        <v>43709</v>
      </c>
      <c r="B173" s="3">
        <v>25.76</v>
      </c>
      <c r="C173" s="12">
        <v>26916.83</v>
      </c>
      <c r="D173" s="3">
        <v>54.07</v>
      </c>
      <c r="E173" s="3">
        <v>2.33</v>
      </c>
      <c r="F173">
        <f>VLOOKUP(A173,[1]edited!$C:$D,2,0)</f>
        <v>21694.3</v>
      </c>
      <c r="H173">
        <f>VLOOKUP(A173,[2]Sheet1!$A:$L,2,0)</f>
        <v>98.931100000000001</v>
      </c>
      <c r="I173">
        <f>VLOOKUP(A173,[2]Sheet1!$A:$L,3,0)</f>
        <v>115.0372</v>
      </c>
      <c r="J173">
        <f>VLOOKUP(A173,[2]Sheet1!$A:$L,6,0)</f>
        <v>100.3219</v>
      </c>
      <c r="K173">
        <f>VLOOKUP(A173,[2]Sheet1!$A:$L,7,0)</f>
        <v>97.5625</v>
      </c>
      <c r="L173">
        <f>VLOOKUP(A173,[2]Sheet1!$A:$L,8,0)</f>
        <v>99.787800000000004</v>
      </c>
    </row>
    <row r="174" spans="1:12" ht="15" thickBot="1" x14ac:dyDescent="0.35">
      <c r="A174" s="9">
        <v>43739</v>
      </c>
      <c r="B174" s="3">
        <v>26.35</v>
      </c>
      <c r="C174" s="12">
        <v>27046.23</v>
      </c>
      <c r="D174" s="3">
        <v>54.18</v>
      </c>
      <c r="E174" s="3">
        <v>2.633</v>
      </c>
      <c r="F174" t="e">
        <f>VLOOKUP(A174,[1]edited!$C:$D,2,0)</f>
        <v>#N/A</v>
      </c>
      <c r="H174">
        <f>VLOOKUP(A174,[2]Sheet1!$A:$L,2,0)</f>
        <v>98.004199999999997</v>
      </c>
      <c r="I174">
        <f>VLOOKUP(A174,[2]Sheet1!$A:$L,3,0)</f>
        <v>114.45440000000001</v>
      </c>
      <c r="J174">
        <f>VLOOKUP(A174,[2]Sheet1!$A:$L,6,0)</f>
        <v>97.696100000000001</v>
      </c>
      <c r="K174">
        <f>VLOOKUP(A174,[2]Sheet1!$A:$L,7,0)</f>
        <v>97.367900000000006</v>
      </c>
      <c r="L174">
        <f>VLOOKUP(A174,[2]Sheet1!$A:$L,8,0)</f>
        <v>99.063699999999997</v>
      </c>
    </row>
    <row r="175" spans="1:12" ht="15" thickBot="1" x14ac:dyDescent="0.35">
      <c r="A175" s="9">
        <v>43770</v>
      </c>
      <c r="B175" s="3">
        <v>25.94</v>
      </c>
      <c r="C175" s="12">
        <v>28051.41</v>
      </c>
      <c r="D175" s="3">
        <v>55.17</v>
      </c>
      <c r="E175" s="3">
        <v>2.2810000000000001</v>
      </c>
      <c r="F175" t="e">
        <f>VLOOKUP(A175,[1]edited!$C:$D,2,0)</f>
        <v>#N/A</v>
      </c>
      <c r="H175">
        <f>VLOOKUP(A175,[2]Sheet1!$A:$L,2,0)</f>
        <v>98.856300000000005</v>
      </c>
      <c r="I175">
        <f>VLOOKUP(A175,[2]Sheet1!$A:$L,3,0)</f>
        <v>112.57899999999999</v>
      </c>
      <c r="J175">
        <f>VLOOKUP(A175,[2]Sheet1!$A:$L,6,0)</f>
        <v>95.692599999999999</v>
      </c>
      <c r="K175">
        <f>VLOOKUP(A175,[2]Sheet1!$A:$L,7,0)</f>
        <v>96.835099999999997</v>
      </c>
      <c r="L175">
        <f>VLOOKUP(A175,[2]Sheet1!$A:$L,8,0)</f>
        <v>100.2418</v>
      </c>
    </row>
    <row r="176" spans="1:12" ht="15" thickBot="1" x14ac:dyDescent="0.35">
      <c r="A176" s="9">
        <v>43800</v>
      </c>
      <c r="B176" s="3">
        <v>25.18</v>
      </c>
      <c r="C176" s="12">
        <v>28538.44</v>
      </c>
      <c r="D176" s="3">
        <v>61.06</v>
      </c>
      <c r="E176" s="3">
        <v>2.1890000000000001</v>
      </c>
      <c r="F176">
        <f>VLOOKUP(A176,[1]edited!$C:$D,2,0)</f>
        <v>21902.400000000001</v>
      </c>
      <c r="H176">
        <f>VLOOKUP(A176,[2]Sheet1!$A:$L,2,0)</f>
        <v>98.963099999999997</v>
      </c>
      <c r="I176">
        <f>VLOOKUP(A176,[2]Sheet1!$A:$L,3,0)</f>
        <v>112.6075</v>
      </c>
      <c r="J176">
        <f>VLOOKUP(A176,[2]Sheet1!$A:$L,6,0)</f>
        <v>95.255399999999995</v>
      </c>
      <c r="K176">
        <f>VLOOKUP(A176,[2]Sheet1!$A:$L,7,0)</f>
        <v>96.370699999999999</v>
      </c>
      <c r="L176">
        <f>VLOOKUP(A176,[2]Sheet1!$A:$L,8,0)</f>
        <v>100.4581</v>
      </c>
    </row>
    <row r="177" spans="1:12" ht="15" thickBot="1" x14ac:dyDescent="0.35">
      <c r="A177" s="9">
        <v>43831</v>
      </c>
      <c r="B177" s="3">
        <v>24.31</v>
      </c>
      <c r="C177" s="12">
        <v>28256.03</v>
      </c>
      <c r="D177" s="3">
        <v>51.56</v>
      </c>
      <c r="E177" s="3">
        <v>1.841</v>
      </c>
      <c r="F177" t="e">
        <f>VLOOKUP(A177,[1]edited!$C:$D,2,0)</f>
        <v>#N/A</v>
      </c>
      <c r="G177">
        <v>14.034053</v>
      </c>
      <c r="H177">
        <f>VLOOKUP(A177,[2]Sheet1!$A:$L,2,0)</f>
        <v>98.761600000000001</v>
      </c>
      <c r="I177">
        <f>VLOOKUP(A177,[2]Sheet1!$A:$L,3,0)</f>
        <v>112.46550000000001</v>
      </c>
      <c r="J177">
        <f>VLOOKUP(A177,[2]Sheet1!$A:$L,6,0)</f>
        <v>95.282700000000006</v>
      </c>
      <c r="K177">
        <f>VLOOKUP(A177,[2]Sheet1!$A:$L,7,0)</f>
        <v>96.747200000000007</v>
      </c>
      <c r="L177">
        <f>VLOOKUP(A177,[2]Sheet1!$A:$L,8,0)</f>
        <v>101.6939</v>
      </c>
    </row>
    <row r="178" spans="1:12" ht="15" thickBot="1" x14ac:dyDescent="0.35">
      <c r="A178" s="9">
        <v>43862</v>
      </c>
      <c r="B178" s="3">
        <v>24.02</v>
      </c>
      <c r="C178" s="12">
        <v>25409.360000000001</v>
      </c>
      <c r="D178" s="3">
        <v>44.76</v>
      </c>
      <c r="E178" s="3">
        <v>1.6839999999999999</v>
      </c>
      <c r="F178" t="e">
        <f>VLOOKUP(A178,[1]edited!$C:$D,2,0)</f>
        <v>#N/A</v>
      </c>
      <c r="H178">
        <f>VLOOKUP(A178,[2]Sheet1!$A:$L,2,0)</f>
        <v>98.939599999999999</v>
      </c>
      <c r="I178">
        <f>VLOOKUP(A178,[2]Sheet1!$A:$L,3,0)</f>
        <v>111.938</v>
      </c>
      <c r="J178">
        <f>VLOOKUP(A178,[2]Sheet1!$A:$L,6,0)</f>
        <v>93.431899999999999</v>
      </c>
      <c r="K178">
        <f>VLOOKUP(A178,[2]Sheet1!$A:$L,7,0)</f>
        <v>96.747699999999995</v>
      </c>
      <c r="L178">
        <f>VLOOKUP(A178,[2]Sheet1!$A:$L,8,0)</f>
        <v>102.4517</v>
      </c>
    </row>
    <row r="179" spans="1:12" ht="15" thickBot="1" x14ac:dyDescent="0.35">
      <c r="A179" s="9">
        <v>43891</v>
      </c>
      <c r="B179" s="3">
        <v>18.420000000000002</v>
      </c>
      <c r="C179" s="12">
        <v>21917.16</v>
      </c>
      <c r="D179" s="3">
        <v>20.48</v>
      </c>
      <c r="E179" s="3">
        <v>1.64</v>
      </c>
      <c r="F179">
        <f>VLOOKUP(A179,[1]edited!$C:$D,2,0)</f>
        <v>21706.5</v>
      </c>
      <c r="H179">
        <f>VLOOKUP(A179,[2]Sheet1!$A:$L,2,0)</f>
        <v>94.358999999999995</v>
      </c>
      <c r="I179">
        <f>VLOOKUP(A179,[2]Sheet1!$A:$L,3,0)</f>
        <v>111.5868</v>
      </c>
      <c r="J179">
        <f>VLOOKUP(A179,[2]Sheet1!$A:$L,6,0)</f>
        <v>87.728700000000003</v>
      </c>
      <c r="K179">
        <f>VLOOKUP(A179,[2]Sheet1!$A:$L,7,0)</f>
        <v>98.317400000000006</v>
      </c>
      <c r="L179">
        <f>VLOOKUP(A179,[2]Sheet1!$A:$L,8,0)</f>
        <v>96.356200000000001</v>
      </c>
    </row>
    <row r="180" spans="1:12" ht="15" thickBot="1" x14ac:dyDescent="0.35">
      <c r="A180" s="9">
        <v>43922</v>
      </c>
      <c r="B180" s="3">
        <v>20.39</v>
      </c>
      <c r="C180" s="12">
        <v>24345.72</v>
      </c>
      <c r="D180" s="3">
        <v>18.84</v>
      </c>
      <c r="E180" s="3">
        <v>1.9490000000000001</v>
      </c>
      <c r="F180" t="e">
        <f>VLOOKUP(A180,[1]edited!$C:$D,2,0)</f>
        <v>#N/A</v>
      </c>
      <c r="H180">
        <f>VLOOKUP(A180,[2]Sheet1!$A:$L,2,0)</f>
        <v>79.7607</v>
      </c>
      <c r="I180">
        <f>VLOOKUP(A180,[2]Sheet1!$A:$L,3,0)</f>
        <v>97.906999999999996</v>
      </c>
      <c r="J180">
        <f>VLOOKUP(A180,[2]Sheet1!$A:$L,6,0)</f>
        <v>70.412999999999997</v>
      </c>
      <c r="K180">
        <f>VLOOKUP(A180,[2]Sheet1!$A:$L,7,0)</f>
        <v>92.205799999999996</v>
      </c>
      <c r="L180">
        <f>VLOOKUP(A180,[2]Sheet1!$A:$L,8,0)</f>
        <v>78.502499999999998</v>
      </c>
    </row>
    <row r="181" spans="1:12" ht="15" thickBot="1" x14ac:dyDescent="0.35">
      <c r="A181" s="9">
        <v>43952</v>
      </c>
      <c r="B181" s="3">
        <v>22.18</v>
      </c>
      <c r="C181" s="12">
        <v>25383.11</v>
      </c>
      <c r="D181" s="3">
        <v>35.49</v>
      </c>
      <c r="E181" s="3">
        <v>1.849</v>
      </c>
      <c r="F181" t="e">
        <f>VLOOKUP(A181,[1]edited!$C:$D,2,0)</f>
        <v>#N/A</v>
      </c>
      <c r="H181">
        <f>VLOOKUP(A181,[2]Sheet1!$A:$L,2,0)</f>
        <v>83.2547</v>
      </c>
      <c r="I181">
        <f>VLOOKUP(A181,[2]Sheet1!$A:$L,3,0)</f>
        <v>88.8476</v>
      </c>
      <c r="J181">
        <f>VLOOKUP(A181,[2]Sheet1!$A:$L,6,0)</f>
        <v>69.413600000000002</v>
      </c>
      <c r="K181">
        <f>VLOOKUP(A181,[2]Sheet1!$A:$L,7,0)</f>
        <v>92.058700000000002</v>
      </c>
      <c r="L181">
        <f>VLOOKUP(A181,[2]Sheet1!$A:$L,8,0)</f>
        <v>82.388499999999993</v>
      </c>
    </row>
    <row r="182" spans="1:12" ht="15" thickBot="1" x14ac:dyDescent="0.35">
      <c r="A182" s="9">
        <v>43983</v>
      </c>
      <c r="B182" s="3">
        <v>27.68</v>
      </c>
      <c r="C182" s="12">
        <v>25812.880000000001</v>
      </c>
      <c r="D182" s="3">
        <v>39.270000000000003</v>
      </c>
      <c r="E182" s="3">
        <v>1.7509999999999999</v>
      </c>
      <c r="F182">
        <f>VLOOKUP(A182,[1]edited!$C:$D,2,0)</f>
        <v>19913.099999999999</v>
      </c>
      <c r="H182">
        <f>VLOOKUP(A182,[2]Sheet1!$A:$L,2,0)</f>
        <v>89.677499999999995</v>
      </c>
      <c r="I182">
        <f>VLOOKUP(A182,[2]Sheet1!$A:$L,3,0)</f>
        <v>90.825400000000002</v>
      </c>
      <c r="J182">
        <f>VLOOKUP(A182,[2]Sheet1!$A:$L,6,0)</f>
        <v>70.460499999999996</v>
      </c>
      <c r="K182">
        <f>VLOOKUP(A182,[2]Sheet1!$A:$L,7,0)</f>
        <v>92.601600000000005</v>
      </c>
      <c r="L182">
        <f>VLOOKUP(A182,[2]Sheet1!$A:$L,8,0)</f>
        <v>91.201099999999997</v>
      </c>
    </row>
    <row r="183" spans="1:12" ht="15" thickBot="1" x14ac:dyDescent="0.35">
      <c r="A183" s="9">
        <v>44013</v>
      </c>
      <c r="B183" s="3">
        <v>27.22</v>
      </c>
      <c r="C183" s="12">
        <v>26428.32</v>
      </c>
      <c r="D183" s="3">
        <v>40.270000000000003</v>
      </c>
      <c r="E183" s="3">
        <v>1.7989999999999999</v>
      </c>
      <c r="F183" t="e">
        <f>VLOOKUP(A183,[1]edited!$C:$D,2,0)</f>
        <v>#N/A</v>
      </c>
      <c r="H183">
        <f>VLOOKUP(A183,[2]Sheet1!$A:$L,2,0)</f>
        <v>92.885400000000004</v>
      </c>
      <c r="I183">
        <f>VLOOKUP(A183,[2]Sheet1!$A:$L,3,0)</f>
        <v>94.037199999999999</v>
      </c>
      <c r="J183">
        <f>VLOOKUP(A183,[2]Sheet1!$A:$L,6,0)</f>
        <v>74.600099999999998</v>
      </c>
      <c r="K183">
        <f>VLOOKUP(A183,[2]Sheet1!$A:$L,7,0)</f>
        <v>94.207599999999999</v>
      </c>
      <c r="L183">
        <f>VLOOKUP(A183,[2]Sheet1!$A:$L,8,0)</f>
        <v>94.075400000000002</v>
      </c>
    </row>
    <row r="184" spans="1:12" ht="15" thickBot="1" x14ac:dyDescent="0.35">
      <c r="A184" s="9">
        <v>44044</v>
      </c>
      <c r="B184" s="3">
        <v>29.53</v>
      </c>
      <c r="C184" s="12">
        <v>28430.05</v>
      </c>
      <c r="D184" s="3">
        <v>42.61</v>
      </c>
      <c r="E184" s="3">
        <v>2.63</v>
      </c>
      <c r="F184" t="e">
        <f>VLOOKUP(A184,[1]edited!$C:$D,2,0)</f>
        <v>#N/A</v>
      </c>
      <c r="H184">
        <f>VLOOKUP(A184,[2]Sheet1!$A:$L,2,0)</f>
        <v>94.266199999999998</v>
      </c>
      <c r="I184">
        <f>VLOOKUP(A184,[2]Sheet1!$A:$L,3,0)</f>
        <v>94.874200000000002</v>
      </c>
      <c r="J184">
        <f>VLOOKUP(A184,[2]Sheet1!$A:$L,6,0)</f>
        <v>74.141599999999997</v>
      </c>
      <c r="K184">
        <f>VLOOKUP(A184,[2]Sheet1!$A:$L,7,0)</f>
        <v>95.3553</v>
      </c>
      <c r="L184">
        <f>VLOOKUP(A184,[2]Sheet1!$A:$L,8,0)</f>
        <v>97.573400000000007</v>
      </c>
    </row>
    <row r="185" spans="1:12" ht="15" thickBot="1" x14ac:dyDescent="0.35">
      <c r="A185" s="9">
        <v>44075</v>
      </c>
      <c r="B185" s="3">
        <v>27.5</v>
      </c>
      <c r="C185" s="12">
        <v>27781.7</v>
      </c>
      <c r="D185" s="3">
        <v>40.22</v>
      </c>
      <c r="E185" s="3">
        <v>2.5270000000000001</v>
      </c>
      <c r="F185">
        <f>VLOOKUP(A185,[1]edited!$C:$D,2,0)</f>
        <v>21647.599999999999</v>
      </c>
      <c r="H185">
        <f>VLOOKUP(A185,[2]Sheet1!$A:$L,2,0)</f>
        <v>94.297899999999998</v>
      </c>
      <c r="I185">
        <f>VLOOKUP(A185,[2]Sheet1!$A:$L,3,0)</f>
        <v>96.125299999999996</v>
      </c>
      <c r="J185">
        <f>VLOOKUP(A185,[2]Sheet1!$A:$L,6,0)</f>
        <v>74.148799999999994</v>
      </c>
      <c r="K185">
        <f>VLOOKUP(A185,[2]Sheet1!$A:$L,7,0)</f>
        <v>95.411000000000001</v>
      </c>
      <c r="L185">
        <f>VLOOKUP(A185,[2]Sheet1!$A:$L,8,0)</f>
        <v>98.306600000000003</v>
      </c>
    </row>
    <row r="186" spans="1:12" ht="15" thickBot="1" x14ac:dyDescent="0.35">
      <c r="A186" s="9">
        <v>44105</v>
      </c>
      <c r="B186" s="3">
        <v>24.19</v>
      </c>
      <c r="C186" s="12">
        <v>26501.599999999999</v>
      </c>
      <c r="D186" s="3">
        <v>35.79</v>
      </c>
      <c r="E186" s="3">
        <v>3.3540000000000001</v>
      </c>
      <c r="F186" t="e">
        <f>VLOOKUP(A186,[1]edited!$C:$D,2,0)</f>
        <v>#N/A</v>
      </c>
      <c r="H186">
        <f>VLOOKUP(A186,[2]Sheet1!$A:$L,2,0)</f>
        <v>95.069800000000001</v>
      </c>
      <c r="I186">
        <f>VLOOKUP(A186,[2]Sheet1!$A:$L,3,0)</f>
        <v>96.530100000000004</v>
      </c>
      <c r="J186">
        <f>VLOOKUP(A186,[2]Sheet1!$A:$L,6,0)</f>
        <v>76.702399999999997</v>
      </c>
      <c r="K186">
        <f>VLOOKUP(A186,[2]Sheet1!$A:$L,7,0)</f>
        <v>96.7226</v>
      </c>
      <c r="L186">
        <f>VLOOKUP(A186,[2]Sheet1!$A:$L,8,0)</f>
        <v>99.030199999999994</v>
      </c>
    </row>
    <row r="187" spans="1:12" ht="15" thickBot="1" x14ac:dyDescent="0.35">
      <c r="A187" s="9">
        <v>44136</v>
      </c>
      <c r="B187" s="3">
        <v>29.6</v>
      </c>
      <c r="C187" s="12">
        <v>29638.639999999999</v>
      </c>
      <c r="D187" s="3">
        <v>45.34</v>
      </c>
      <c r="E187" s="3">
        <v>2.8820000000000001</v>
      </c>
      <c r="F187" t="e">
        <f>VLOOKUP(A187,[1]edited!$C:$D,2,0)</f>
        <v>#N/A</v>
      </c>
      <c r="H187">
        <f>VLOOKUP(A187,[2]Sheet1!$A:$L,2,0)</f>
        <v>95.631299999999996</v>
      </c>
      <c r="I187">
        <f>VLOOKUP(A187,[2]Sheet1!$A:$L,3,0)</f>
        <v>99.259600000000006</v>
      </c>
      <c r="J187">
        <f>VLOOKUP(A187,[2]Sheet1!$A:$L,6,0)</f>
        <v>76.866299999999995</v>
      </c>
      <c r="K187">
        <f>VLOOKUP(A187,[2]Sheet1!$A:$L,7,0)</f>
        <v>96.815100000000001</v>
      </c>
      <c r="L187">
        <f>VLOOKUP(A187,[2]Sheet1!$A:$L,8,0)</f>
        <v>98.765199999999993</v>
      </c>
    </row>
    <row r="188" spans="1:12" ht="15" thickBot="1" x14ac:dyDescent="0.35">
      <c r="A188" s="9">
        <v>44166</v>
      </c>
      <c r="B188" s="3">
        <v>32.94</v>
      </c>
      <c r="C188" s="12">
        <v>30606.48</v>
      </c>
      <c r="D188" s="3">
        <v>48.52</v>
      </c>
      <c r="E188" s="3">
        <v>2.5390000000000001</v>
      </c>
      <c r="F188">
        <f>VLOOKUP(A188,[1]edited!$C:$D,2,0)</f>
        <v>22024.5</v>
      </c>
      <c r="H188">
        <f>VLOOKUP(A188,[2]Sheet1!$A:$L,2,0)</f>
        <v>96.227599999999995</v>
      </c>
      <c r="I188">
        <f>VLOOKUP(A188,[2]Sheet1!$A:$L,3,0)</f>
        <v>99.588700000000003</v>
      </c>
      <c r="J188">
        <f>VLOOKUP(A188,[2]Sheet1!$A:$L,6,0)</f>
        <v>80.397199999999998</v>
      </c>
      <c r="K188">
        <f>VLOOKUP(A188,[2]Sheet1!$A:$L,7,0)</f>
        <v>96.706199999999995</v>
      </c>
      <c r="L188">
        <f>VLOOKUP(A188,[2]Sheet1!$A:$L,8,0)</f>
        <v>99.977199999999996</v>
      </c>
    </row>
    <row r="189" spans="1:12" ht="15" thickBot="1" x14ac:dyDescent="0.35">
      <c r="A189" s="9">
        <v>44197</v>
      </c>
      <c r="B189" s="3">
        <v>33.18</v>
      </c>
      <c r="C189" s="12">
        <v>29982.62</v>
      </c>
      <c r="D189" s="3">
        <v>52.2</v>
      </c>
      <c r="E189" s="3">
        <v>2.5640000000000001</v>
      </c>
      <c r="F189" t="e">
        <f>VLOOKUP(A189,[1]edited!$C:$D,2,0)</f>
        <v>#N/A</v>
      </c>
      <c r="G189">
        <v>14.932487500000001</v>
      </c>
      <c r="H189">
        <f>VLOOKUP(A189,[2]Sheet1!$A:$L,2,0)</f>
        <v>97.229100000000003</v>
      </c>
      <c r="I189">
        <f>VLOOKUP(A189,[2]Sheet1!$A:$L,3,0)</f>
        <v>100.7568</v>
      </c>
      <c r="J189">
        <f>VLOOKUP(A189,[2]Sheet1!$A:$L,6,0)</f>
        <v>82.841800000000006</v>
      </c>
      <c r="K189">
        <f>VLOOKUP(A189,[2]Sheet1!$A:$L,7,0)</f>
        <v>96.9298</v>
      </c>
      <c r="L189">
        <f>VLOOKUP(A189,[2]Sheet1!$A:$L,8,0)</f>
        <v>101.2103</v>
      </c>
    </row>
    <row r="190" spans="1:12" ht="15" thickBot="1" x14ac:dyDescent="0.35">
      <c r="A190" s="9">
        <v>44228</v>
      </c>
      <c r="B190" s="3">
        <v>37.6</v>
      </c>
      <c r="C190" s="12">
        <v>30932.37</v>
      </c>
      <c r="D190" s="3">
        <v>61.5</v>
      </c>
      <c r="E190" s="3">
        <v>2.7709999999999999</v>
      </c>
      <c r="F190" t="e">
        <f>VLOOKUP(A190,[1]edited!$C:$D,2,0)</f>
        <v>#N/A</v>
      </c>
      <c r="H190">
        <f>VLOOKUP(A190,[2]Sheet1!$A:$L,2,0)</f>
        <v>93.408600000000007</v>
      </c>
      <c r="I190">
        <f>VLOOKUP(A190,[2]Sheet1!$A:$L,3,0)</f>
        <v>90.097800000000007</v>
      </c>
      <c r="J190">
        <f>VLOOKUP(A190,[2]Sheet1!$A:$L,6,0)</f>
        <v>77.554900000000004</v>
      </c>
      <c r="K190">
        <f>VLOOKUP(A190,[2]Sheet1!$A:$L,7,0)</f>
        <v>89.892600000000002</v>
      </c>
      <c r="L190">
        <f>VLOOKUP(A190,[2]Sheet1!$A:$L,8,0)</f>
        <v>99.932699999999997</v>
      </c>
    </row>
    <row r="191" spans="1:12" ht="15" thickBot="1" x14ac:dyDescent="0.35">
      <c r="A191" s="9">
        <v>44256</v>
      </c>
      <c r="B191" s="3">
        <v>42.89</v>
      </c>
      <c r="C191" s="12">
        <v>32981.550000000003</v>
      </c>
      <c r="D191" s="3">
        <v>59.16</v>
      </c>
      <c r="E191" s="3">
        <v>2.6080000000000001</v>
      </c>
      <c r="F191">
        <f>VLOOKUP(A191,[1]edited!$C:$D,2,0)</f>
        <v>22600.2</v>
      </c>
      <c r="H191">
        <f>VLOOKUP(A191,[2]Sheet1!$A:$L,2,0)</f>
        <v>96.221199999999996</v>
      </c>
      <c r="I191">
        <f>VLOOKUP(A191,[2]Sheet1!$A:$L,3,0)</f>
        <v>100.11109999999999</v>
      </c>
      <c r="J191">
        <f>VLOOKUP(A191,[2]Sheet1!$A:$L,6,0)</f>
        <v>86.851500000000001</v>
      </c>
      <c r="K191">
        <f>VLOOKUP(A191,[2]Sheet1!$A:$L,7,0)</f>
        <v>94.835099999999997</v>
      </c>
      <c r="L191">
        <f>VLOOKUP(A191,[2]Sheet1!$A:$L,8,0)</f>
        <v>99.2179</v>
      </c>
    </row>
    <row r="192" spans="1:12" ht="15" thickBot="1" x14ac:dyDescent="0.35">
      <c r="A192" s="9">
        <v>44287</v>
      </c>
      <c r="B192" s="3">
        <v>49.31</v>
      </c>
      <c r="C192" s="12">
        <v>33874.85</v>
      </c>
      <c r="D192" s="3">
        <v>63.58</v>
      </c>
      <c r="E192" s="3">
        <v>2.931</v>
      </c>
      <c r="F192" t="e">
        <f>VLOOKUP(A192,[1]edited!$C:$D,2,0)</f>
        <v>#N/A</v>
      </c>
      <c r="H192">
        <f>VLOOKUP(A192,[2]Sheet1!$A:$L,2,0)</f>
        <v>96.338499999999996</v>
      </c>
      <c r="I192">
        <f>VLOOKUP(A192,[2]Sheet1!$A:$L,3,0)</f>
        <v>101.9131</v>
      </c>
      <c r="J192">
        <f>VLOOKUP(A192,[2]Sheet1!$A:$L,6,0)</f>
        <v>88.606800000000007</v>
      </c>
      <c r="K192">
        <f>VLOOKUP(A192,[2]Sheet1!$A:$L,7,0)</f>
        <v>98.996799999999993</v>
      </c>
      <c r="L192">
        <f>VLOOKUP(A192,[2]Sheet1!$A:$L,8,0)</f>
        <v>98.876800000000003</v>
      </c>
    </row>
    <row r="193" spans="1:12" ht="15" thickBot="1" x14ac:dyDescent="0.35">
      <c r="A193" s="9">
        <v>44317</v>
      </c>
      <c r="B193" s="3">
        <v>52.24</v>
      </c>
      <c r="C193" s="12">
        <v>34529.449999999997</v>
      </c>
      <c r="D193" s="3">
        <v>66.319999999999993</v>
      </c>
      <c r="E193" s="3">
        <v>2.9860000000000002</v>
      </c>
      <c r="F193" t="e">
        <f>VLOOKUP(A193,[1]edited!$C:$D,2,0)</f>
        <v>#N/A</v>
      </c>
      <c r="H193">
        <f>VLOOKUP(A193,[2]Sheet1!$A:$L,2,0)</f>
        <v>97.360900000000001</v>
      </c>
      <c r="I193">
        <f>VLOOKUP(A193,[2]Sheet1!$A:$L,3,0)</f>
        <v>104.5076</v>
      </c>
      <c r="J193">
        <f>VLOOKUP(A193,[2]Sheet1!$A:$L,6,0)</f>
        <v>89.567700000000002</v>
      </c>
      <c r="K193">
        <f>VLOOKUP(A193,[2]Sheet1!$A:$L,7,0)</f>
        <v>101.6152</v>
      </c>
      <c r="L193">
        <f>VLOOKUP(A193,[2]Sheet1!$A:$L,8,0)</f>
        <v>99.421099999999996</v>
      </c>
    </row>
    <row r="194" spans="1:12" ht="15" thickBot="1" x14ac:dyDescent="0.35">
      <c r="A194" s="9">
        <v>44348</v>
      </c>
      <c r="B194" s="3">
        <v>56.78</v>
      </c>
      <c r="C194" s="12">
        <v>34502.51</v>
      </c>
      <c r="D194" s="3">
        <v>73.47</v>
      </c>
      <c r="E194" s="3">
        <v>3.65</v>
      </c>
      <c r="F194">
        <f>VLOOKUP(A194,[1]edited!$C:$D,2,0)</f>
        <v>23292.400000000001</v>
      </c>
      <c r="H194">
        <f>VLOOKUP(A194,[2]Sheet1!$A:$L,2,0)</f>
        <v>97.305199999999999</v>
      </c>
      <c r="I194">
        <f>VLOOKUP(A194,[2]Sheet1!$A:$L,3,0)</f>
        <v>105.0523</v>
      </c>
      <c r="J194">
        <f>VLOOKUP(A194,[2]Sheet1!$A:$L,6,0)</f>
        <v>90.478099999999998</v>
      </c>
      <c r="K194">
        <f>VLOOKUP(A194,[2]Sheet1!$A:$L,7,0)</f>
        <v>102.5333</v>
      </c>
      <c r="L194">
        <f>VLOOKUP(A194,[2]Sheet1!$A:$L,8,0)</f>
        <v>100.3501</v>
      </c>
    </row>
    <row r="195" spans="1:12" ht="15" thickBot="1" x14ac:dyDescent="0.35">
      <c r="A195" s="9">
        <v>44378</v>
      </c>
      <c r="B195" s="3">
        <v>53.69</v>
      </c>
      <c r="C195" s="12">
        <v>34935.47</v>
      </c>
      <c r="D195" s="3">
        <v>73.95</v>
      </c>
      <c r="E195" s="3">
        <v>3.9140000000000001</v>
      </c>
      <c r="F195" t="e">
        <f>VLOOKUP(A195,[1]edited!$C:$D,2,0)</f>
        <v>#N/A</v>
      </c>
      <c r="H195">
        <f>VLOOKUP(A195,[2]Sheet1!$A:$L,2,0)</f>
        <v>98.295199999999994</v>
      </c>
      <c r="I195">
        <f>VLOOKUP(A195,[2]Sheet1!$A:$L,3,0)</f>
        <v>105.4303</v>
      </c>
      <c r="J195">
        <f>VLOOKUP(A195,[2]Sheet1!$A:$L,6,0)</f>
        <v>91.086100000000002</v>
      </c>
      <c r="K195">
        <f>VLOOKUP(A195,[2]Sheet1!$A:$L,7,0)</f>
        <v>102.6221</v>
      </c>
      <c r="L195">
        <f>VLOOKUP(A195,[2]Sheet1!$A:$L,8,0)</f>
        <v>101.18040000000001</v>
      </c>
    </row>
    <row r="196" spans="1:12" ht="15" thickBot="1" x14ac:dyDescent="0.35">
      <c r="A196" s="9">
        <v>44409</v>
      </c>
      <c r="B196" s="3">
        <v>61.07</v>
      </c>
      <c r="C196" s="12">
        <v>35360.730000000003</v>
      </c>
      <c r="D196" s="3">
        <v>68.5</v>
      </c>
      <c r="E196" s="3">
        <v>4.3769999999999998</v>
      </c>
      <c r="F196" t="e">
        <f>VLOOKUP(A196,[1]edited!$C:$D,2,0)</f>
        <v>#N/A</v>
      </c>
      <c r="H196">
        <f>VLOOKUP(A196,[2]Sheet1!$A:$L,2,0)</f>
        <v>98.016199999999998</v>
      </c>
      <c r="I196">
        <f>VLOOKUP(A196,[2]Sheet1!$A:$L,3,0)</f>
        <v>104.8231</v>
      </c>
      <c r="J196">
        <f>VLOOKUP(A196,[2]Sheet1!$A:$L,6,0)</f>
        <v>90.742500000000007</v>
      </c>
      <c r="K196">
        <f>VLOOKUP(A196,[2]Sheet1!$A:$L,7,0)</f>
        <v>101.7256</v>
      </c>
      <c r="L196">
        <f>VLOOKUP(A196,[2]Sheet1!$A:$L,8,0)</f>
        <v>101.5774</v>
      </c>
    </row>
    <row r="197" spans="1:12" ht="15" thickBot="1" x14ac:dyDescent="0.35">
      <c r="A197" s="9">
        <v>44440</v>
      </c>
      <c r="B197" s="3">
        <v>62.16</v>
      </c>
      <c r="C197" s="12">
        <v>33843.919999999998</v>
      </c>
      <c r="D197" s="3">
        <v>75.03</v>
      </c>
      <c r="E197" s="3">
        <v>5.867</v>
      </c>
      <c r="F197">
        <f>VLOOKUP(A197,[1]edited!$C:$D,2,0)</f>
        <v>23829</v>
      </c>
      <c r="H197">
        <f>VLOOKUP(A197,[2]Sheet1!$A:$L,2,0)</f>
        <v>97.141300000000001</v>
      </c>
      <c r="I197">
        <f>VLOOKUP(A197,[2]Sheet1!$A:$L,3,0)</f>
        <v>101.8815</v>
      </c>
      <c r="J197">
        <f>VLOOKUP(A197,[2]Sheet1!$A:$L,6,0)</f>
        <v>90.482799999999997</v>
      </c>
      <c r="K197">
        <f>VLOOKUP(A197,[2]Sheet1!$A:$L,7,0)</f>
        <v>99.905299999999997</v>
      </c>
      <c r="L197">
        <f>VLOOKUP(A197,[2]Sheet1!$A:$L,8,0)</f>
        <v>101.1562</v>
      </c>
    </row>
    <row r="198" spans="1:12" ht="15" thickBot="1" x14ac:dyDescent="0.35">
      <c r="A198" s="9">
        <v>44470</v>
      </c>
      <c r="B198" s="3">
        <v>59.08</v>
      </c>
      <c r="C198" s="12">
        <v>35819.56</v>
      </c>
      <c r="D198" s="3">
        <v>83.57</v>
      </c>
      <c r="E198" s="3">
        <v>5.4260000000000002</v>
      </c>
      <c r="F198" t="e">
        <f>VLOOKUP(A198,[1]edited!$C:$D,2,0)</f>
        <v>#N/A</v>
      </c>
      <c r="H198">
        <f>VLOOKUP(A198,[2]Sheet1!$A:$L,2,0)</f>
        <v>98.440700000000007</v>
      </c>
      <c r="I198">
        <f>VLOOKUP(A198,[2]Sheet1!$A:$L,3,0)</f>
        <v>105.7813</v>
      </c>
      <c r="J198">
        <f>VLOOKUP(A198,[2]Sheet1!$A:$L,6,0)</f>
        <v>92.555099999999996</v>
      </c>
      <c r="K198">
        <f>VLOOKUP(A198,[2]Sheet1!$A:$L,7,0)</f>
        <v>102.08329999999999</v>
      </c>
      <c r="L198">
        <f>VLOOKUP(A198,[2]Sheet1!$A:$L,8,0)</f>
        <v>101.85080000000001</v>
      </c>
    </row>
    <row r="199" spans="1:12" ht="15" thickBot="1" x14ac:dyDescent="0.35">
      <c r="A199" s="9">
        <v>44501</v>
      </c>
      <c r="B199" s="3">
        <v>75.73</v>
      </c>
      <c r="C199" s="12">
        <v>34483.72</v>
      </c>
      <c r="D199" s="3">
        <v>66.180000000000007</v>
      </c>
      <c r="E199" s="3">
        <v>4.5670000000000002</v>
      </c>
      <c r="F199" t="e">
        <f>VLOOKUP(A199,[1]edited!$C:$D,2,0)</f>
        <v>#N/A</v>
      </c>
      <c r="H199">
        <f>VLOOKUP(A199,[2]Sheet1!$A:$L,2,0)</f>
        <v>99.285300000000007</v>
      </c>
      <c r="I199">
        <f>VLOOKUP(A199,[2]Sheet1!$A:$L,3,0)</f>
        <v>106.1293</v>
      </c>
      <c r="J199">
        <f>VLOOKUP(A199,[2]Sheet1!$A:$L,6,0)</f>
        <v>92.342100000000002</v>
      </c>
      <c r="K199">
        <f>VLOOKUP(A199,[2]Sheet1!$A:$L,7,0)</f>
        <v>102.3985</v>
      </c>
      <c r="L199">
        <f>VLOOKUP(A199,[2]Sheet1!$A:$L,8,0)</f>
        <v>103.663</v>
      </c>
    </row>
    <row r="200" spans="1:12" ht="15" thickBot="1" x14ac:dyDescent="0.35">
      <c r="A200" s="9">
        <v>44531</v>
      </c>
      <c r="B200" s="3">
        <v>80.650000000000006</v>
      </c>
      <c r="C200" s="12">
        <v>36338.300000000003</v>
      </c>
      <c r="D200" s="3">
        <v>75.209999999999994</v>
      </c>
      <c r="E200" s="3">
        <v>3.73</v>
      </c>
      <c r="F200">
        <f>VLOOKUP(A200,[1]edited!$C:$D,2,0)</f>
        <v>24654.6</v>
      </c>
      <c r="H200">
        <f>VLOOKUP(A200,[2]Sheet1!$A:$L,2,0)</f>
        <v>99.235399999999998</v>
      </c>
      <c r="I200">
        <f>VLOOKUP(A200,[2]Sheet1!$A:$L,3,0)</f>
        <v>106.1397</v>
      </c>
      <c r="J200">
        <f>VLOOKUP(A200,[2]Sheet1!$A:$L,6,0)</f>
        <v>91.589500000000001</v>
      </c>
      <c r="K200">
        <f>VLOOKUP(A200,[2]Sheet1!$A:$L,7,0)</f>
        <v>102.7719</v>
      </c>
      <c r="L200">
        <f>VLOOKUP(A200,[2]Sheet1!$A:$L,8,0)</f>
        <v>102.9444</v>
      </c>
    </row>
    <row r="201" spans="1:12" ht="15" thickBot="1" x14ac:dyDescent="0.35">
      <c r="A201" s="9">
        <v>44562</v>
      </c>
      <c r="B201" s="3">
        <v>89.24</v>
      </c>
      <c r="C201" s="12">
        <v>35131.86</v>
      </c>
      <c r="D201" s="3">
        <v>88.15</v>
      </c>
      <c r="E201" s="3">
        <v>4.8739999999999997</v>
      </c>
      <c r="F201" t="e">
        <f>VLOOKUP(A201,[1]edited!$C:$D,2,0)</f>
        <v>#N/A</v>
      </c>
      <c r="G201">
        <v>14.949616000000001</v>
      </c>
      <c r="H201">
        <f>VLOOKUP(A201,[2]Sheet1!$A:$L,2,0)</f>
        <v>98.674300000000002</v>
      </c>
      <c r="I201">
        <f>VLOOKUP(A201,[2]Sheet1!$A:$L,3,0)</f>
        <v>104.71339999999999</v>
      </c>
      <c r="J201">
        <f>VLOOKUP(A201,[2]Sheet1!$A:$L,6,0)</f>
        <v>88.151399999999995</v>
      </c>
      <c r="K201">
        <f>VLOOKUP(A201,[2]Sheet1!$A:$L,7,0)</f>
        <v>101.6199</v>
      </c>
      <c r="L201">
        <f>VLOOKUP(A201,[2]Sheet1!$A:$L,8,0)</f>
        <v>101.55970000000001</v>
      </c>
    </row>
    <row r="202" spans="1:12" ht="15" thickBot="1" x14ac:dyDescent="0.35">
      <c r="A202" s="9">
        <v>44593</v>
      </c>
      <c r="B202" s="3">
        <v>82.21</v>
      </c>
      <c r="C202" s="12">
        <v>33892.6</v>
      </c>
      <c r="D202" s="3">
        <v>95.72</v>
      </c>
      <c r="E202" s="3">
        <v>4.4020000000000001</v>
      </c>
      <c r="F202" t="e">
        <f>VLOOKUP(A202,[1]edited!$C:$D,2,0)</f>
        <v>#N/A</v>
      </c>
      <c r="H202">
        <f>VLOOKUP(A202,[2]Sheet1!$A:$L,2,0)</f>
        <v>99.827299999999994</v>
      </c>
      <c r="I202">
        <f>VLOOKUP(A202,[2]Sheet1!$A:$L,3,0)</f>
        <v>104.6793</v>
      </c>
      <c r="J202">
        <f>VLOOKUP(A202,[2]Sheet1!$A:$L,6,0)</f>
        <v>90.027900000000002</v>
      </c>
      <c r="K202">
        <f>VLOOKUP(A202,[2]Sheet1!$A:$L,7,0)</f>
        <v>101.8199</v>
      </c>
      <c r="L202">
        <f>VLOOKUP(A202,[2]Sheet1!$A:$L,8,0)</f>
        <v>104.2736</v>
      </c>
    </row>
    <row r="203" spans="1:12" ht="15" thickBot="1" x14ac:dyDescent="0.35">
      <c r="A203" s="9">
        <v>44621</v>
      </c>
      <c r="B203" s="3">
        <v>76.48</v>
      </c>
      <c r="C203" s="12">
        <v>34678.35</v>
      </c>
      <c r="D203" s="3">
        <v>100.28</v>
      </c>
      <c r="E203" s="3">
        <v>5.6420000000000003</v>
      </c>
      <c r="F203">
        <f>VLOOKUP(A203,[1]edited!$C:$D,2,0)</f>
        <v>25029.1</v>
      </c>
      <c r="H203">
        <f>VLOOKUP(A203,[2]Sheet1!$A:$L,2,0)</f>
        <v>100.63330000000001</v>
      </c>
      <c r="I203">
        <f>VLOOKUP(A203,[2]Sheet1!$A:$L,3,0)</f>
        <v>106.7774</v>
      </c>
      <c r="J203">
        <f>VLOOKUP(A203,[2]Sheet1!$A:$L,6,0)</f>
        <v>91.224000000000004</v>
      </c>
      <c r="K203">
        <f>VLOOKUP(A203,[2]Sheet1!$A:$L,7,0)</f>
        <v>102.7371</v>
      </c>
      <c r="L203">
        <f>VLOOKUP(A203,[2]Sheet1!$A:$L,8,0)</f>
        <v>104.5466</v>
      </c>
    </row>
    <row r="204" spans="1:12" ht="15" thickBot="1" x14ac:dyDescent="0.35">
      <c r="A204" s="9">
        <v>44652</v>
      </c>
      <c r="B204" s="3">
        <v>84.45</v>
      </c>
      <c r="C204" s="12">
        <v>32977.21</v>
      </c>
      <c r="D204" s="3">
        <v>104.69</v>
      </c>
      <c r="E204" s="3">
        <v>7.2439999999999998</v>
      </c>
      <c r="F204" t="e">
        <f>VLOOKUP(A204,[1]edited!$C:$D,2,0)</f>
        <v>#N/A</v>
      </c>
      <c r="H204">
        <f>VLOOKUP(A204,[2]Sheet1!$A:$L,2,0)</f>
        <v>100.7696</v>
      </c>
      <c r="I204">
        <f>VLOOKUP(A204,[2]Sheet1!$A:$L,3,0)</f>
        <v>106.9024</v>
      </c>
      <c r="J204">
        <f>VLOOKUP(A204,[2]Sheet1!$A:$L,6,0)</f>
        <v>89.776399999999995</v>
      </c>
      <c r="K204">
        <f>VLOOKUP(A204,[2]Sheet1!$A:$L,7,0)</f>
        <v>102.57129999999999</v>
      </c>
      <c r="L204">
        <f>VLOOKUP(A204,[2]Sheet1!$A:$L,8,0)</f>
        <v>105.0615</v>
      </c>
    </row>
    <row r="205" spans="1:12" ht="15" thickBot="1" x14ac:dyDescent="0.35">
      <c r="A205" s="9">
        <v>44682</v>
      </c>
      <c r="B205" s="3">
        <v>84.02</v>
      </c>
      <c r="C205" s="12">
        <v>32990.120000000003</v>
      </c>
      <c r="D205" s="3">
        <v>114.67</v>
      </c>
      <c r="E205" s="3">
        <v>8.1449999999999996</v>
      </c>
      <c r="F205" t="e">
        <f>VLOOKUP(A205,[1]edited!$C:$D,2,0)</f>
        <v>#N/A</v>
      </c>
      <c r="H205">
        <f>VLOOKUP(A205,[2]Sheet1!$A:$L,2,0)</f>
        <v>100.3862</v>
      </c>
      <c r="I205">
        <f>VLOOKUP(A205,[2]Sheet1!$A:$L,3,0)</f>
        <v>107.5956</v>
      </c>
      <c r="J205">
        <f>VLOOKUP(A205,[2]Sheet1!$A:$L,6,0)</f>
        <v>90.480500000000006</v>
      </c>
      <c r="K205">
        <f>VLOOKUP(A205,[2]Sheet1!$A:$L,7,0)</f>
        <v>102.30200000000001</v>
      </c>
      <c r="L205">
        <f>VLOOKUP(A205,[2]Sheet1!$A:$L,8,0)</f>
        <v>104.57389999999999</v>
      </c>
    </row>
    <row r="206" spans="1:12" ht="15" thickBot="1" x14ac:dyDescent="0.35">
      <c r="A206" s="9">
        <v>44713</v>
      </c>
      <c r="B206" s="3">
        <v>90.16</v>
      </c>
      <c r="C206" s="12">
        <v>30775.43</v>
      </c>
      <c r="D206" s="3">
        <v>105.76</v>
      </c>
      <c r="E206" s="3">
        <v>5.4240000000000004</v>
      </c>
      <c r="F206">
        <f>VLOOKUP(A206,[1]edited!$C:$D,2,0)</f>
        <v>25544.3</v>
      </c>
      <c r="H206">
        <f>VLOOKUP(A206,[2]Sheet1!$A:$L,2,0)</f>
        <v>99.957599999999999</v>
      </c>
      <c r="I206">
        <f>VLOOKUP(A206,[2]Sheet1!$A:$L,3,0)</f>
        <v>108.71040000000001</v>
      </c>
      <c r="J206">
        <f>VLOOKUP(A206,[2]Sheet1!$A:$L,6,0)</f>
        <v>88.519800000000004</v>
      </c>
      <c r="K206">
        <f>VLOOKUP(A206,[2]Sheet1!$A:$L,7,0)</f>
        <v>102.0852</v>
      </c>
      <c r="L206">
        <f>VLOOKUP(A206,[2]Sheet1!$A:$L,8,0)</f>
        <v>104.1746</v>
      </c>
    </row>
    <row r="207" spans="1:12" ht="15" thickBot="1" x14ac:dyDescent="0.35">
      <c r="A207" s="9">
        <v>44743</v>
      </c>
      <c r="B207" s="3">
        <v>78.55</v>
      </c>
      <c r="C207" s="12">
        <v>32845.129999999997</v>
      </c>
      <c r="D207" s="3">
        <v>98.62</v>
      </c>
      <c r="E207" s="3">
        <v>8.2289999999999992</v>
      </c>
      <c r="F207" t="e">
        <f>VLOOKUP(A207,[1]edited!$C:$D,2,0)</f>
        <v>#N/A</v>
      </c>
      <c r="H207">
        <f>VLOOKUP(A207,[2]Sheet1!$A:$L,2,0)</f>
        <v>100.1859</v>
      </c>
      <c r="I207">
        <f>VLOOKUP(A207,[2]Sheet1!$A:$L,3,0)</f>
        <v>109.7146</v>
      </c>
      <c r="J207">
        <f>VLOOKUP(A207,[2]Sheet1!$A:$L,6,0)</f>
        <v>88.151399999999995</v>
      </c>
      <c r="K207">
        <f>VLOOKUP(A207,[2]Sheet1!$A:$L,7,0)</f>
        <v>102.15560000000001</v>
      </c>
      <c r="L207">
        <f>VLOOKUP(A207,[2]Sheet1!$A:$L,8,0)</f>
        <v>105.1455</v>
      </c>
    </row>
    <row r="208" spans="1:12" ht="15" thickBot="1" x14ac:dyDescent="0.35">
      <c r="A208" s="9">
        <v>44774</v>
      </c>
      <c r="B208" s="3">
        <v>80.03</v>
      </c>
      <c r="C208" s="12">
        <v>31510.43</v>
      </c>
      <c r="D208" s="3">
        <v>89.55</v>
      </c>
      <c r="E208" s="3">
        <v>9.1270000000000007</v>
      </c>
      <c r="F208" t="e">
        <f>VLOOKUP(A208,[1]edited!$C:$D,2,0)</f>
        <v>#N/A</v>
      </c>
      <c r="H208">
        <f>VLOOKUP(A208,[2]Sheet1!$A:$L,2,0)</f>
        <v>100.379</v>
      </c>
      <c r="I208">
        <f>VLOOKUP(A208,[2]Sheet1!$A:$L,3,0)</f>
        <v>109.59310000000001</v>
      </c>
      <c r="J208">
        <f>VLOOKUP(A208,[2]Sheet1!$A:$L,6,0)</f>
        <v>89.947999999999993</v>
      </c>
      <c r="K208">
        <f>VLOOKUP(A208,[2]Sheet1!$A:$L,7,0)</f>
        <v>102.5849</v>
      </c>
      <c r="L208">
        <f>VLOOKUP(A208,[2]Sheet1!$A:$L,8,0)</f>
        <v>104.9952</v>
      </c>
    </row>
    <row r="209" spans="1:12" ht="15" thickBot="1" x14ac:dyDescent="0.35">
      <c r="A209" s="9">
        <v>44805</v>
      </c>
      <c r="B209" s="3">
        <v>66.73</v>
      </c>
      <c r="C209" s="12">
        <v>28725.51</v>
      </c>
      <c r="D209" s="3">
        <v>79.489999999999995</v>
      </c>
      <c r="E209" s="3">
        <v>6.766</v>
      </c>
      <c r="F209">
        <f>VLOOKUP(A209,[1]edited!$C:$D,2,0)</f>
        <v>25994.6</v>
      </c>
      <c r="H209">
        <f>VLOOKUP(A209,[2]Sheet1!$A:$L,2,0)</f>
        <v>100.6212</v>
      </c>
      <c r="I209">
        <f>VLOOKUP(A209,[2]Sheet1!$A:$L,3,0)</f>
        <v>110.4084</v>
      </c>
      <c r="J209">
        <f>VLOOKUP(A209,[2]Sheet1!$A:$L,6,0)</f>
        <v>92.055700000000002</v>
      </c>
      <c r="K209">
        <f>VLOOKUP(A209,[2]Sheet1!$A:$L,7,0)</f>
        <v>102.4739</v>
      </c>
      <c r="L209">
        <f>VLOOKUP(A209,[2]Sheet1!$A:$L,8,0)</f>
        <v>104.81870000000001</v>
      </c>
    </row>
    <row r="210" spans="1:12" ht="15" thickBot="1" x14ac:dyDescent="0.35">
      <c r="A210" s="9">
        <v>44835</v>
      </c>
      <c r="B210" s="3">
        <v>79.97</v>
      </c>
      <c r="C210" s="12">
        <v>32732.95</v>
      </c>
      <c r="D210" s="3">
        <v>86.53</v>
      </c>
      <c r="E210" s="3">
        <v>6.3550000000000004</v>
      </c>
      <c r="F210" t="e">
        <f>VLOOKUP(A210,[1]edited!$C:$D,2,0)</f>
        <v>#N/A</v>
      </c>
      <c r="H210">
        <f>VLOOKUP(A210,[2]Sheet1!$A:$L,2,0)</f>
        <v>100.75449999999999</v>
      </c>
      <c r="I210">
        <f>VLOOKUP(A210,[2]Sheet1!$A:$L,3,0)</f>
        <v>110.15130000000001</v>
      </c>
      <c r="J210">
        <f>VLOOKUP(A210,[2]Sheet1!$A:$L,6,0)</f>
        <v>91.1327</v>
      </c>
      <c r="K210">
        <f>VLOOKUP(A210,[2]Sheet1!$A:$L,7,0)</f>
        <v>102.60639999999999</v>
      </c>
      <c r="L210">
        <f>VLOOKUP(A210,[2]Sheet1!$A:$L,8,0)</f>
        <v>104.42100000000001</v>
      </c>
    </row>
    <row r="211" spans="1:12" ht="15" thickBot="1" x14ac:dyDescent="0.35">
      <c r="A211" s="9">
        <v>44866</v>
      </c>
      <c r="B211" s="3">
        <v>84.9</v>
      </c>
      <c r="C211" s="12">
        <v>34589.769999999997</v>
      </c>
      <c r="D211" s="3">
        <v>80.56</v>
      </c>
      <c r="E211" s="3">
        <v>6.93</v>
      </c>
      <c r="F211" t="e">
        <f>VLOOKUP(A211,[1]edited!$C:$D,2,0)</f>
        <v>#N/A</v>
      </c>
      <c r="H211">
        <f>VLOOKUP(A211,[2]Sheet1!$A:$L,2,0)</f>
        <v>100.0038</v>
      </c>
      <c r="I211">
        <f>VLOOKUP(A211,[2]Sheet1!$A:$L,3,0)</f>
        <v>109.3014</v>
      </c>
      <c r="J211">
        <f>VLOOKUP(A211,[2]Sheet1!$A:$L,6,0)</f>
        <v>91.026700000000005</v>
      </c>
      <c r="K211">
        <f>VLOOKUP(A211,[2]Sheet1!$A:$L,7,0)</f>
        <v>102.15600000000001</v>
      </c>
      <c r="L211">
        <f>VLOOKUP(A211,[2]Sheet1!$A:$L,8,0)</f>
        <v>101.7912</v>
      </c>
    </row>
    <row r="212" spans="1:12" ht="15" thickBot="1" x14ac:dyDescent="0.35">
      <c r="A212" s="9">
        <v>44896</v>
      </c>
      <c r="B212" s="3">
        <v>79.400000000000006</v>
      </c>
      <c r="C212" s="12">
        <v>33147.25</v>
      </c>
      <c r="D212" s="3">
        <v>80.47</v>
      </c>
      <c r="E212" s="3">
        <v>4.4749999999999996</v>
      </c>
      <c r="F212">
        <f>VLOOKUP(A212,[1]edited!$C:$D,2,0)</f>
        <v>26408.400000000001</v>
      </c>
      <c r="H212">
        <f>VLOOKUP(A212,[2]Sheet1!$A:$L,2,0)</f>
        <v>97.905000000000001</v>
      </c>
      <c r="I212">
        <f>VLOOKUP(A212,[2]Sheet1!$A:$L,3,0)</f>
        <v>106.2204</v>
      </c>
      <c r="J212">
        <f>VLOOKUP(A212,[2]Sheet1!$A:$L,6,0)</f>
        <v>87.355599999999995</v>
      </c>
      <c r="K212">
        <f>VLOOKUP(A212,[2]Sheet1!$A:$L,7,0)</f>
        <v>98.004099999999994</v>
      </c>
      <c r="L212">
        <f>VLOOKUP(A212,[2]Sheet1!$A:$L,8,0)</f>
        <v>99.910899999999998</v>
      </c>
    </row>
    <row r="213" spans="1:12" ht="15" thickBot="1" x14ac:dyDescent="0.35">
      <c r="A213" s="9">
        <v>44927</v>
      </c>
      <c r="B213" s="3">
        <v>90.13</v>
      </c>
      <c r="C213" s="12">
        <v>34086.04</v>
      </c>
      <c r="D213" s="3">
        <v>80.11</v>
      </c>
      <c r="E213" s="3">
        <v>2.6840000000000002</v>
      </c>
      <c r="F213" t="e">
        <f>VLOOKUP(A213,[1]edited!$C:$D,2,0)</f>
        <v>#N/A</v>
      </c>
      <c r="G213">
        <v>15.1694745</v>
      </c>
      <c r="H213">
        <f>VLOOKUP(A213,[2]Sheet1!$A:$L,2,0)</f>
        <v>99.533900000000003</v>
      </c>
      <c r="I213">
        <f>VLOOKUP(A213,[2]Sheet1!$A:$L,3,0)</f>
        <v>110.34010000000001</v>
      </c>
      <c r="J213">
        <f>VLOOKUP(A213,[2]Sheet1!$A:$L,6,0)</f>
        <v>87.546199999999999</v>
      </c>
      <c r="K213">
        <f>VLOOKUP(A213,[2]Sheet1!$A:$L,7,0)</f>
        <v>101.8747</v>
      </c>
      <c r="L213">
        <f>VLOOKUP(A213,[2]Sheet1!$A:$L,8,0)</f>
        <v>99.659099999999995</v>
      </c>
    </row>
    <row r="214" spans="1:12" ht="15" thickBot="1" x14ac:dyDescent="0.35">
      <c r="A214" s="9">
        <v>44958</v>
      </c>
      <c r="B214" s="3">
        <v>95.88</v>
      </c>
      <c r="C214" s="12">
        <v>32656.7</v>
      </c>
      <c r="D214" s="3">
        <v>77.05</v>
      </c>
      <c r="E214" s="3">
        <v>2.7469999999999999</v>
      </c>
      <c r="F214" t="e">
        <f>VLOOKUP(A214,[1]edited!$C:$D,2,0)</f>
        <v>#N/A</v>
      </c>
      <c r="H214">
        <f>VLOOKUP(A214,[2]Sheet1!$A:$L,2,0)</f>
        <v>99.881299999999996</v>
      </c>
      <c r="I214">
        <f>VLOOKUP(A214,[2]Sheet1!$A:$L,3,0)</f>
        <v>110.7165</v>
      </c>
      <c r="J214">
        <f>VLOOKUP(A214,[2]Sheet1!$A:$L,6,0)</f>
        <v>88.255200000000002</v>
      </c>
      <c r="K214">
        <f>VLOOKUP(A214,[2]Sheet1!$A:$L,7,0)</f>
        <v>104.3321</v>
      </c>
      <c r="L214">
        <f>VLOOKUP(A214,[2]Sheet1!$A:$L,8,0)</f>
        <v>98.674499999999995</v>
      </c>
    </row>
    <row r="215" spans="1:12" ht="15" thickBot="1" x14ac:dyDescent="0.35">
      <c r="A215" s="9">
        <v>44986</v>
      </c>
      <c r="B215" s="3">
        <v>91.75</v>
      </c>
      <c r="C215" s="12">
        <v>33274.15</v>
      </c>
      <c r="D215" s="3">
        <v>75.67</v>
      </c>
      <c r="E215" s="3">
        <v>2.2160000000000002</v>
      </c>
      <c r="F215">
        <f>VLOOKUP(A215,[1]edited!$C:$D,2,0)</f>
        <v>26813.599999999999</v>
      </c>
      <c r="H215">
        <f>VLOOKUP(A215,[2]Sheet1!$A:$L,2,0)</f>
        <v>99.072800000000001</v>
      </c>
      <c r="I215">
        <f>VLOOKUP(A215,[2]Sheet1!$A:$L,3,0)</f>
        <v>111.0829</v>
      </c>
      <c r="J215">
        <f>VLOOKUP(A215,[2]Sheet1!$A:$L,6,0)</f>
        <v>89.720299999999995</v>
      </c>
      <c r="K215">
        <f>VLOOKUP(A215,[2]Sheet1!$A:$L,7,0)</f>
        <v>103.375</v>
      </c>
      <c r="L215">
        <f>VLOOKUP(A215,[2]Sheet1!$A:$L,8,0)</f>
        <v>98.922600000000003</v>
      </c>
    </row>
    <row r="216" spans="1:12" ht="15" thickBot="1" x14ac:dyDescent="0.35">
      <c r="A216" s="9">
        <v>45017</v>
      </c>
      <c r="B216" s="3">
        <v>87.65</v>
      </c>
      <c r="C216" s="12">
        <v>34098.160000000003</v>
      </c>
      <c r="D216" s="3">
        <v>76.78</v>
      </c>
      <c r="E216" s="3">
        <v>2.41</v>
      </c>
      <c r="F216" t="e">
        <f>VLOOKUP(A216,[1]edited!$C:$D,2,0)</f>
        <v>#N/A</v>
      </c>
      <c r="H216">
        <f>VLOOKUP(A216,[2]Sheet1!$A:$L,2,0)</f>
        <v>99.929500000000004</v>
      </c>
      <c r="I216">
        <f>VLOOKUP(A216,[2]Sheet1!$A:$L,3,0)</f>
        <v>110.94070000000001</v>
      </c>
      <c r="J216">
        <f>VLOOKUP(A216,[2]Sheet1!$A:$L,6,0)</f>
        <v>90.566800000000001</v>
      </c>
      <c r="K216">
        <f>VLOOKUP(A216,[2]Sheet1!$A:$L,7,0)</f>
        <v>103.6388</v>
      </c>
      <c r="L216">
        <f>VLOOKUP(A216,[2]Sheet1!$A:$L,8,0)</f>
        <v>99.526899999999998</v>
      </c>
    </row>
    <row r="217" spans="1:12" ht="15" thickBot="1" x14ac:dyDescent="0.35">
      <c r="A217" s="9">
        <v>45047</v>
      </c>
      <c r="B217" s="3">
        <v>80.77</v>
      </c>
      <c r="C217" s="12">
        <v>32908.269999999997</v>
      </c>
      <c r="D217" s="3">
        <v>68.09</v>
      </c>
      <c r="E217" s="3">
        <v>2.266</v>
      </c>
      <c r="F217" t="e">
        <f>VLOOKUP(A217,[1]edited!$C:$D,2,0)</f>
        <v>#N/A</v>
      </c>
      <c r="H217">
        <f>VLOOKUP(A217,[2]Sheet1!$A:$L,2,0)</f>
        <v>99.775800000000004</v>
      </c>
      <c r="I217">
        <f>VLOOKUP(A217,[2]Sheet1!$A:$L,3,0)</f>
        <v>111.09820000000001</v>
      </c>
      <c r="J217">
        <f>VLOOKUP(A217,[2]Sheet1!$A:$L,6,0)</f>
        <v>90.208600000000004</v>
      </c>
      <c r="K217">
        <f>VLOOKUP(A217,[2]Sheet1!$A:$L,7,0)</f>
        <v>103.54430000000001</v>
      </c>
      <c r="L217">
        <f>VLOOKUP(A217,[2]Sheet1!$A:$L,8,0)</f>
        <v>98.94</v>
      </c>
    </row>
    <row r="218" spans="1:12" ht="15" thickBot="1" x14ac:dyDescent="0.35">
      <c r="A218" s="9">
        <v>45078</v>
      </c>
      <c r="B218" s="3">
        <v>89.57</v>
      </c>
      <c r="C218" s="12">
        <v>34407.599999999999</v>
      </c>
      <c r="D218" s="3">
        <v>70.64</v>
      </c>
      <c r="E218" s="3">
        <v>2.798</v>
      </c>
      <c r="F218">
        <f>VLOOKUP(A218,[1]edited!$C:$D,2,0)</f>
        <v>27063</v>
      </c>
      <c r="H218">
        <f>VLOOKUP(A218,[2]Sheet1!$A:$L,2,0)</f>
        <v>99.088200000000001</v>
      </c>
      <c r="I218">
        <f>VLOOKUP(A218,[2]Sheet1!$A:$L,3,0)</f>
        <v>111.5146</v>
      </c>
      <c r="J218">
        <f>VLOOKUP(A218,[2]Sheet1!$A:$L,6,0)</f>
        <v>88.930700000000002</v>
      </c>
      <c r="K218">
        <f>VLOOKUP(A218,[2]Sheet1!$A:$L,7,0)</f>
        <v>104.1421</v>
      </c>
      <c r="L218">
        <f>VLOOKUP(A218,[2]Sheet1!$A:$L,8,0)</f>
        <v>99.375600000000006</v>
      </c>
    </row>
    <row r="219" spans="1:12" ht="15" thickBot="1" x14ac:dyDescent="0.35">
      <c r="A219" s="9">
        <v>45108</v>
      </c>
      <c r="B219" s="3">
        <v>86.81</v>
      </c>
      <c r="C219" s="12">
        <v>35559.53</v>
      </c>
      <c r="D219" s="3">
        <v>81.8</v>
      </c>
      <c r="E219" s="3">
        <v>2.6339999999999999</v>
      </c>
      <c r="F219" t="e">
        <f>VLOOKUP(A219,[1]edited!$C:$D,2,0)</f>
        <v>#N/A</v>
      </c>
      <c r="H219">
        <f>VLOOKUP(A219,[2]Sheet1!$A:$L,2,0)</f>
        <v>99.455299999999994</v>
      </c>
      <c r="I219">
        <f>VLOOKUP(A219,[2]Sheet1!$A:$L,3,0)</f>
        <v>112.0013</v>
      </c>
      <c r="J219">
        <f>VLOOKUP(A219,[2]Sheet1!$A:$L,6,0)</f>
        <v>90.259</v>
      </c>
      <c r="K219">
        <f>VLOOKUP(A219,[2]Sheet1!$A:$L,7,0)</f>
        <v>103.0898</v>
      </c>
      <c r="L219">
        <f>VLOOKUP(A219,[2]Sheet1!$A:$L,8,0)</f>
        <v>99.377200000000002</v>
      </c>
    </row>
    <row r="220" spans="1:12" ht="15" thickBot="1" x14ac:dyDescent="0.35">
      <c r="A220" s="9">
        <v>45139</v>
      </c>
      <c r="B220" s="3">
        <v>86.03</v>
      </c>
      <c r="C220" s="12">
        <v>34721.160000000003</v>
      </c>
      <c r="D220" s="3">
        <v>83.63</v>
      </c>
      <c r="E220" s="3">
        <v>2.7679999999999998</v>
      </c>
      <c r="F220" t="e">
        <f>VLOOKUP(A220,[1]edited!$C:$D,2,0)</f>
        <v>#N/A</v>
      </c>
      <c r="H220">
        <f>VLOOKUP(A220,[2]Sheet1!$A:$L,2,0)</f>
        <v>99.522199999999998</v>
      </c>
      <c r="I220">
        <f>VLOOKUP(A220,[2]Sheet1!$A:$L,3,0)</f>
        <v>111.8903</v>
      </c>
      <c r="J220">
        <f>VLOOKUP(A220,[2]Sheet1!$A:$L,6,0)</f>
        <v>91.506900000000002</v>
      </c>
      <c r="K220">
        <f>VLOOKUP(A220,[2]Sheet1!$A:$L,7,0)</f>
        <v>103.77679999999999</v>
      </c>
      <c r="L220">
        <f>VLOOKUP(A220,[2]Sheet1!$A:$L,8,0)</f>
        <v>99.139700000000005</v>
      </c>
    </row>
    <row r="221" spans="1:12" ht="15" thickBot="1" x14ac:dyDescent="0.35">
      <c r="A221" s="9">
        <v>45170</v>
      </c>
      <c r="B221" s="3">
        <v>81.45</v>
      </c>
      <c r="C221" s="12">
        <v>33507.760000000002</v>
      </c>
      <c r="D221" s="3">
        <v>90.79</v>
      </c>
      <c r="E221" s="3">
        <v>2.9289999999999998</v>
      </c>
      <c r="F221">
        <f>VLOOKUP(A221,[1]edited!$C:$D,2,0)</f>
        <v>27610.1</v>
      </c>
      <c r="H221">
        <f>VLOOKUP(A221,[2]Sheet1!$A:$L,2,0)</f>
        <v>99.627700000000004</v>
      </c>
      <c r="I221">
        <f>VLOOKUP(A221,[2]Sheet1!$A:$L,3,0)</f>
        <v>112.7419</v>
      </c>
      <c r="J221">
        <f>VLOOKUP(A221,[2]Sheet1!$A:$L,6,0)</f>
        <v>92.206900000000005</v>
      </c>
      <c r="K221">
        <f>VLOOKUP(A221,[2]Sheet1!$A:$L,7,0)</f>
        <v>103.7461</v>
      </c>
      <c r="L221">
        <f>VLOOKUP(A221,[2]Sheet1!$A:$L,8,0)</f>
        <v>100.57170000000001</v>
      </c>
    </row>
    <row r="222" spans="1:12" ht="15" thickBot="1" x14ac:dyDescent="0.35">
      <c r="A222" s="9">
        <v>45200</v>
      </c>
      <c r="B222" s="3">
        <v>79.41</v>
      </c>
      <c r="C222" s="12">
        <v>33052.74</v>
      </c>
      <c r="D222" s="3">
        <v>81.02</v>
      </c>
      <c r="E222" s="3">
        <v>3.5750000000000002</v>
      </c>
      <c r="F222" t="e">
        <f>VLOOKUP(A222,[1]edited!$C:$D,2,0)</f>
        <v>#N/A</v>
      </c>
      <c r="H222">
        <f>VLOOKUP(A222,[2]Sheet1!$A:$L,2,0)</f>
        <v>98.802599999999998</v>
      </c>
      <c r="I222">
        <f>VLOOKUP(A222,[2]Sheet1!$A:$L,3,0)</f>
        <v>111.8968</v>
      </c>
      <c r="J222">
        <f>VLOOKUP(A222,[2]Sheet1!$A:$L,6,0)</f>
        <v>92.349400000000003</v>
      </c>
      <c r="K222">
        <f>VLOOKUP(A222,[2]Sheet1!$A:$L,7,0)</f>
        <v>102.9061</v>
      </c>
      <c r="L222">
        <f>VLOOKUP(A222,[2]Sheet1!$A:$L,8,0)</f>
        <v>98.902500000000003</v>
      </c>
    </row>
    <row r="223" spans="1:12" ht="15" thickBot="1" x14ac:dyDescent="0.35">
      <c r="A223" s="9">
        <v>45231</v>
      </c>
      <c r="B223" s="3">
        <v>70.55</v>
      </c>
      <c r="C223" s="12">
        <v>35950.959999999999</v>
      </c>
      <c r="D223" s="3">
        <v>75.959999999999994</v>
      </c>
      <c r="E223" s="3">
        <v>2.802</v>
      </c>
      <c r="F223" t="e">
        <f>VLOOKUP(A223,[1]edited!$C:$D,2,0)</f>
        <v>#N/A</v>
      </c>
      <c r="H223">
        <f>VLOOKUP(A223,[2]Sheet1!$A:$L,2,0)</f>
        <v>99.038600000000002</v>
      </c>
      <c r="I223">
        <f>VLOOKUP(A223,[2]Sheet1!$A:$L,3,0)</f>
        <v>111.26349999999999</v>
      </c>
      <c r="J223">
        <f>VLOOKUP(A223,[2]Sheet1!$A:$L,6,0)</f>
        <v>92.342399999999998</v>
      </c>
      <c r="K223">
        <f>VLOOKUP(A223,[2]Sheet1!$A:$L,7,0)</f>
        <v>102.4524</v>
      </c>
      <c r="L223">
        <f>VLOOKUP(A223,[2]Sheet1!$A:$L,8,0)</f>
        <v>98.1477</v>
      </c>
    </row>
    <row r="224" spans="1:12" ht="15" thickBot="1" x14ac:dyDescent="0.35">
      <c r="A224" s="9">
        <v>45261</v>
      </c>
      <c r="B224" s="3">
        <v>77.98</v>
      </c>
      <c r="C224" s="12">
        <v>37689.54</v>
      </c>
      <c r="D224" s="3">
        <v>71.650000000000006</v>
      </c>
      <c r="E224" s="3">
        <v>2.5139999999999998</v>
      </c>
      <c r="F224" t="e">
        <f>VLOOKUP(A224,[1]edited!$C:$D,2,0)</f>
        <v>#N/A</v>
      </c>
      <c r="H224">
        <f>VLOOKUP(A224,[2]Sheet1!$A:$L,2,0)</f>
        <v>99.088399999999993</v>
      </c>
      <c r="I224">
        <f>VLOOKUP(A224,[2]Sheet1!$A:$L,3,0)</f>
        <v>112.247</v>
      </c>
      <c r="J224">
        <f>VLOOKUP(A224,[2]Sheet1!$A:$L,6,0)</f>
        <v>94.336200000000005</v>
      </c>
      <c r="K224">
        <f>VLOOKUP(A224,[2]Sheet1!$A:$L,7,0)</f>
        <v>102.72799999999999</v>
      </c>
      <c r="L224">
        <f>VLOOKUP(A224,[2]Sheet1!$A:$L,8,0)</f>
        <v>98.851100000000002</v>
      </c>
    </row>
  </sheetData>
  <sortState ref="A2:L224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864A-6176-4AEB-B89D-D113403D0429}">
  <dimension ref="B4:D10"/>
  <sheetViews>
    <sheetView workbookViewId="0">
      <selection activeCell="I10" sqref="I10"/>
    </sheetView>
  </sheetViews>
  <sheetFormatPr defaultRowHeight="14.4" x14ac:dyDescent="0.3"/>
  <cols>
    <col min="3" max="3" width="17.5546875" bestFit="1" customWidth="1"/>
    <col min="4" max="4" width="53.44140625" bestFit="1" customWidth="1"/>
  </cols>
  <sheetData>
    <row r="4" spans="2:4" x14ac:dyDescent="0.3">
      <c r="B4">
        <v>1</v>
      </c>
      <c r="C4" s="6" t="s">
        <v>14</v>
      </c>
      <c r="D4" s="7" t="s">
        <v>13</v>
      </c>
    </row>
    <row r="5" spans="2:4" ht="28.8" x14ac:dyDescent="0.3">
      <c r="B5">
        <v>2</v>
      </c>
      <c r="C5" s="6" t="s">
        <v>12</v>
      </c>
      <c r="D5" s="7" t="s">
        <v>11</v>
      </c>
    </row>
    <row r="6" spans="2:4" ht="28.8" x14ac:dyDescent="0.3">
      <c r="B6">
        <v>3</v>
      </c>
      <c r="C6" s="6" t="s">
        <v>10</v>
      </c>
      <c r="D6" s="7" t="s">
        <v>9</v>
      </c>
    </row>
    <row r="7" spans="2:4" x14ac:dyDescent="0.3">
      <c r="B7">
        <v>4</v>
      </c>
      <c r="C7" s="6" t="s">
        <v>8</v>
      </c>
      <c r="D7" s="5" t="s">
        <v>7</v>
      </c>
    </row>
    <row r="8" spans="2:4" x14ac:dyDescent="0.3">
      <c r="B8">
        <v>5</v>
      </c>
      <c r="C8" s="6" t="s">
        <v>6</v>
      </c>
      <c r="D8" s="5" t="s">
        <v>5</v>
      </c>
    </row>
    <row r="9" spans="2:4" x14ac:dyDescent="0.3">
      <c r="B9">
        <v>6</v>
      </c>
      <c r="C9" s="6" t="s">
        <v>4</v>
      </c>
      <c r="D9" s="5" t="s">
        <v>3</v>
      </c>
    </row>
    <row r="10" spans="2:4" ht="28.8" x14ac:dyDescent="0.3">
      <c r="B10">
        <v>7</v>
      </c>
      <c r="C10" s="6" t="s">
        <v>2</v>
      </c>
      <c r="D10" s="5" t="s">
        <v>1</v>
      </c>
    </row>
  </sheetData>
  <hyperlinks>
    <hyperlink ref="D4" r:id="rId1" display="https://in.investing.com/commodities/carbon-emissions-historical-data" xr:uid="{E19E073B-F449-4D6B-8EDA-88CBB74639F3}"/>
    <hyperlink ref="D6" r:id="rId2" display="https://www.federalreserve.gov/datadownload/Download.aspx?rel=g17&amp;series=08d1f259fed64a6ddda57c1802f2ba42&amp;filetype=csv&amp;label=include&amp;layout=seriescolumn&amp;from=01/01/2000&amp;to=12/31/2023" xr:uid="{70F7C68B-A3B6-4D35-AA41-4A7AA5BA03DB}"/>
    <hyperlink ref="D5" r:id="rId3" display="https://www.investing.com/indices/us-30-historical-data" xr:uid="{B718D1F7-189A-4871-9050-9253AAAE0DB7}"/>
    <hyperlink ref="D7" r:id="rId4" location="eyJhcHBpZCI6MTksInN0ZXBzIjpbMSwyLDMsM10sImRhdGEiOltbImNhdGVnb3JpZXMiLCJTdXJ2ZXkiXSxbIk5JUEFfVGFibGVfTGlzdCIsIjUiXSxbIkZpcnN0X1llYXIiLCIyMDAwIl0sWyJMYXN0X1llYXIiLCIyMDIzIl0sWyJTY2FsZSIsIi05Il0sWyJTZXJpZXMiLCJRIl1dfQ==" display="https://apps.bea.gov/iTable/?reqid=19&amp;step=2&amp;isuri=1&amp;categories=survey&amp;_gl=1*1fupzff*_ga*MTI2NzgwNDUzMC4xNzA2MTExODQ5*_ga_J4698JNNFT*MTcwNjExMzg5MC4yLjEuMTcwNjExNDI1OC41OS4wLjA. - eyJhcHBpZCI6MTksInN0ZXBzIjpbMSwyLDMsM10sImRhdGEiOltbImNhdGVnb3JpZXMiLCJTdXJ2ZXkiXSxbIk5JUEFfVGFibGVfTGlzdCIsIjUiXSxbIkZpcnN0X1llYXIiLCIyMDAwIl0sWyJMYXN0X1llYXIiLCIyMDIzIl0sWyJTY2FsZSIsIi05Il0sWyJTZXJpZXMiLCJRIl1dfQ==" xr:uid="{CE2ADDE8-0ADA-4328-87A5-394B74C22F45}"/>
    <hyperlink ref="D8" r:id="rId5" display="https://in.investing.com/commodities/crude-oil-historical-data?end_date=1706115221&amp;interval_sec=monthly&amp;st_date=948652200" xr:uid="{1A54251A-54DA-4F1F-98D5-7FEB68BA5E6F}"/>
    <hyperlink ref="D9" r:id="rId6" display="https://in.investing.com/commodities/natural-gas-historical-data?end_date=1706115666&amp;interval_sec=monthly&amp;st_date=980274600" xr:uid="{BF0DC41D-DCF5-411B-B052-10C49ABF0DA0}"/>
    <hyperlink ref="D10" r:id="rId7" location="per-capita-how-much-co2-does-the-average-person-emit" display="per-capita-how-much-co2-does-the-average-person-emit" xr:uid="{00610DCF-D786-4B57-BDEC-EEA6B99000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2024-01-24T17:14:48Z</dcterms:created>
  <dcterms:modified xsi:type="dcterms:W3CDTF">2024-01-26T12:27:40Z</dcterms:modified>
</cp:coreProperties>
</file>